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belhasan1989/Desktop/Data_Analytics_Decode/Project 2/"/>
    </mc:Choice>
  </mc:AlternateContent>
  <xr:revisionPtr revIDLastSave="0" documentId="13_ncr:1_{F91BE2AC-F4D6-F14A-8AC0-C9CA91229381}" xr6:coauthVersionLast="47" xr6:coauthVersionMax="47" xr10:uidLastSave="{00000000-0000-0000-0000-000000000000}"/>
  <bookViews>
    <workbookView xWindow="0" yWindow="0" windowWidth="38400" windowHeight="21600" activeTab="6" xr2:uid="{00000000-000D-0000-FFFF-FFFF00000000}"/>
  </bookViews>
  <sheets>
    <sheet name="Raw_Backup" sheetId="1" r:id="rId1"/>
    <sheet name="Cleaned_Dataset" sheetId="2" r:id="rId2"/>
    <sheet name="Descriptive Statistics" sheetId="4" r:id="rId3"/>
    <sheet name="By Category" sheetId="5" r:id="rId4"/>
    <sheet name="Monthly Trend" sheetId="6" r:id="rId5"/>
    <sheet name="Outliers" sheetId="7" r:id="rId6"/>
    <sheet name="Key Observations" sheetId="8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7" l="1"/>
  <c r="B15" i="7"/>
  <c r="B16" i="7"/>
  <c r="B17" i="7"/>
  <c r="B18" i="7"/>
  <c r="B19" i="7"/>
  <c r="B20" i="7"/>
  <c r="B21" i="7"/>
  <c r="B22" i="7"/>
  <c r="B13" i="7"/>
  <c r="C22" i="7"/>
  <c r="C21" i="7"/>
  <c r="C20" i="7"/>
  <c r="C19" i="7"/>
  <c r="C18" i="7"/>
  <c r="C17" i="7"/>
  <c r="C16" i="7"/>
  <c r="C15" i="7"/>
  <c r="C14" i="7"/>
  <c r="C13" i="7"/>
  <c r="B3" i="7"/>
  <c r="B4" i="7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4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10" i="6"/>
  <c r="B9" i="6"/>
  <c r="B8" i="6"/>
  <c r="B7" i="6"/>
  <c r="B6" i="6"/>
  <c r="B5" i="6"/>
  <c r="B4" i="6"/>
  <c r="D50" i="5"/>
  <c r="D46" i="5"/>
  <c r="D45" i="5"/>
  <c r="D49" i="5" s="1"/>
  <c r="D44" i="5"/>
  <c r="D43" i="5"/>
  <c r="D42" i="5"/>
  <c r="D48" i="5" s="1"/>
  <c r="B46" i="5"/>
  <c r="C46" i="5" s="1"/>
  <c r="B45" i="5"/>
  <c r="C45" i="5" s="1"/>
  <c r="B44" i="5"/>
  <c r="C44" i="5" s="1"/>
  <c r="B43" i="5"/>
  <c r="C43" i="5" s="1"/>
  <c r="B42" i="5"/>
  <c r="C42" i="5" s="1"/>
  <c r="C37" i="5"/>
  <c r="D37" i="5" s="1"/>
  <c r="C36" i="5"/>
  <c r="E36" i="5" s="1"/>
  <c r="C35" i="5"/>
  <c r="E35" i="5" s="1"/>
  <c r="C34" i="5"/>
  <c r="E34" i="5" s="1"/>
  <c r="C33" i="5"/>
  <c r="E33" i="5" s="1"/>
  <c r="B33" i="5"/>
  <c r="B37" i="5"/>
  <c r="B36" i="5"/>
  <c r="B35" i="5"/>
  <c r="B34" i="5"/>
  <c r="D34" i="5" s="1"/>
  <c r="C28" i="5"/>
  <c r="D28" i="5" s="1"/>
  <c r="C27" i="5"/>
  <c r="E27" i="5" s="1"/>
  <c r="C26" i="5"/>
  <c r="E26" i="5" s="1"/>
  <c r="C25" i="5"/>
  <c r="E25" i="5" s="1"/>
  <c r="B25" i="5"/>
  <c r="B28" i="5"/>
  <c r="B27" i="5"/>
  <c r="B26" i="5"/>
  <c r="F19" i="5"/>
  <c r="E20" i="5"/>
  <c r="E19" i="5"/>
  <c r="E18" i="5"/>
  <c r="C20" i="5"/>
  <c r="C19" i="5"/>
  <c r="C18" i="5"/>
  <c r="C17" i="5"/>
  <c r="D17" i="5" s="1"/>
  <c r="C16" i="5"/>
  <c r="E16" i="5" s="1"/>
  <c r="B20" i="5"/>
  <c r="F20" i="5" s="1"/>
  <c r="B19" i="5"/>
  <c r="D19" i="5" s="1"/>
  <c r="B18" i="5"/>
  <c r="D18" i="5" s="1"/>
  <c r="B17" i="5"/>
  <c r="F17" i="5" s="1"/>
  <c r="B16" i="5"/>
  <c r="F16" i="5" s="1"/>
  <c r="E7" i="5"/>
  <c r="C11" i="5"/>
  <c r="D11" i="5" s="1"/>
  <c r="C10" i="5"/>
  <c r="E10" i="5" s="1"/>
  <c r="C9" i="5"/>
  <c r="E9" i="5" s="1"/>
  <c r="C8" i="5"/>
  <c r="E8" i="5" s="1"/>
  <c r="C7" i="5"/>
  <c r="D7" i="5" s="1"/>
  <c r="C6" i="5"/>
  <c r="E6" i="5" s="1"/>
  <c r="C5" i="5"/>
  <c r="E5" i="5" s="1"/>
  <c r="B11" i="5"/>
  <c r="B10" i="5"/>
  <c r="B9" i="5"/>
  <c r="D9" i="5" s="1"/>
  <c r="B8" i="5"/>
  <c r="B7" i="5"/>
  <c r="B6" i="5"/>
  <c r="D6" i="5" s="1"/>
  <c r="B5" i="5"/>
  <c r="E11" i="4"/>
  <c r="E10" i="4"/>
  <c r="E9" i="4"/>
  <c r="E8" i="4"/>
  <c r="E7" i="4"/>
  <c r="E6" i="4"/>
  <c r="E5" i="4"/>
  <c r="E4" i="4"/>
  <c r="D11" i="4"/>
  <c r="D10" i="4"/>
  <c r="D9" i="4"/>
  <c r="D8" i="4"/>
  <c r="D7" i="4"/>
  <c r="D6" i="4"/>
  <c r="D5" i="4"/>
  <c r="D4" i="4"/>
  <c r="C11" i="4"/>
  <c r="C10" i="4"/>
  <c r="C9" i="4"/>
  <c r="C8" i="4"/>
  <c r="C7" i="4"/>
  <c r="C6" i="4"/>
  <c r="C5" i="4"/>
  <c r="B5" i="4"/>
  <c r="B6" i="4"/>
  <c r="B12" i="4" s="1"/>
  <c r="B7" i="4"/>
  <c r="B8" i="4"/>
  <c r="B9" i="4"/>
  <c r="B10" i="4"/>
  <c r="B11" i="4"/>
  <c r="C4" i="4"/>
  <c r="B4" i="4"/>
  <c r="D10" i="5" l="1"/>
  <c r="D8" i="5"/>
  <c r="E28" i="5"/>
  <c r="D36" i="5"/>
  <c r="D20" i="5"/>
  <c r="E17" i="5"/>
  <c r="D35" i="5"/>
  <c r="E11" i="5"/>
  <c r="F18" i="5"/>
  <c r="D27" i="5"/>
  <c r="E37" i="5"/>
  <c r="D26" i="5"/>
  <c r="B5" i="7"/>
  <c r="B7" i="7" s="1"/>
  <c r="B9" i="7" s="1"/>
  <c r="B6" i="7"/>
  <c r="B8" i="7" s="1"/>
  <c r="D4" i="6"/>
  <c r="D33" i="5"/>
  <c r="D16" i="5"/>
  <c r="D5" i="5"/>
  <c r="D25" i="5"/>
</calcChain>
</file>

<file path=xl/sharedStrings.xml><?xml version="1.0" encoding="utf-8"?>
<sst xmlns="http://schemas.openxmlformats.org/spreadsheetml/2006/main" count="21457" uniqueCount="4371">
  <si>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</si>
  <si>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</si>
  <si>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</si>
  <si>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</si>
  <si>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</si>
  <si>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</si>
  <si>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</si>
  <si>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</si>
  <si>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</si>
  <si>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</si>
  <si>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</si>
  <si>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</si>
  <si>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</si>
  <si>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</si>
  <si>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</si>
  <si>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</si>
  <si>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</si>
  <si>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</si>
  <si>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</si>
  <si>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</si>
  <si>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</si>
  <si>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</si>
  <si>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</si>
  <si>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</si>
  <si>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</si>
  <si>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</si>
  <si>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</si>
  <si>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</si>
  <si>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</si>
  <si>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</si>
  <si>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</si>
  <si>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</si>
  <si>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</si>
  <si>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</si>
  <si>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</si>
  <si>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</si>
  <si>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</si>
  <si>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</si>
  <si>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</si>
  <si>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</si>
  <si>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</si>
  <si>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</si>
  <si>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</si>
  <si>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</si>
  <si>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</si>
  <si>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</si>
  <si>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</si>
  <si>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</si>
  <si>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</si>
  <si>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</si>
  <si>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</si>
  <si>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</si>
  <si>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</si>
  <si>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</si>
  <si>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</si>
  <si>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</si>
  <si>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</si>
  <si>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</si>
  <si>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</si>
  <si>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</si>
  <si>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</si>
  <si>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</si>
  <si>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</si>
  <si>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</si>
  <si>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</si>
  <si>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</si>
  <si>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</si>
  <si>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</si>
  <si>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</si>
  <si>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</si>
  <si>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</si>
  <si>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</si>
  <si>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</si>
  <si>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</si>
  <si>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</si>
  <si>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</si>
  <si>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</si>
  <si>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</si>
  <si>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</si>
  <si>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</si>
  <si>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</si>
  <si>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</si>
  <si>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</si>
  <si>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</si>
  <si>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</si>
  <si>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</si>
  <si>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</si>
  <si>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</si>
  <si>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</si>
  <si>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</si>
  <si>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</si>
  <si>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</si>
  <si>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</si>
  <si>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</si>
  <si>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</si>
  <si>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</si>
  <si>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</si>
  <si>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</si>
  <si>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</si>
  <si>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</si>
  <si>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</si>
  <si>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</si>
  <si>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</si>
  <si>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</si>
  <si>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</si>
  <si>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</si>
  <si>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</si>
  <si>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</si>
  <si>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</si>
  <si>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</si>
  <si>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</si>
  <si>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</si>
  <si>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</si>
  <si>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</si>
  <si>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</si>
  <si>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</si>
  <si>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</si>
  <si>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</si>
  <si>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</si>
  <si>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</si>
  <si>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</si>
  <si>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</si>
  <si>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</si>
  <si>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</si>
  <si>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</si>
  <si>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</si>
  <si>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</si>
  <si>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</si>
  <si>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</si>
  <si>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</si>
  <si>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</si>
  <si>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</si>
  <si>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</si>
  <si>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</si>
  <si>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</si>
  <si>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</si>
  <si>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</si>
  <si>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</si>
  <si>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</si>
  <si>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</si>
  <si>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</si>
  <si>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</si>
  <si>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</si>
  <si>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</si>
  <si>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</si>
  <si>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</si>
  <si>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</si>
  <si>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</si>
  <si>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</si>
  <si>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</si>
  <si>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</si>
  <si>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</si>
  <si>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</si>
  <si>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</si>
  <si>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</si>
  <si>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</si>
  <si>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</si>
  <si>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</si>
  <si>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</si>
  <si>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</si>
  <si>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</si>
  <si>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</si>
  <si>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</si>
  <si>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</si>
  <si>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</si>
  <si>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</si>
  <si>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</si>
  <si>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</si>
  <si>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</si>
  <si>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</si>
  <si>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</si>
  <si>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</si>
  <si>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</si>
  <si>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</si>
  <si>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</si>
  <si>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</si>
  <si>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</si>
  <si>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</si>
  <si>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</si>
  <si>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</si>
  <si>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</si>
  <si>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</si>
  <si>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</si>
  <si>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</si>
  <si>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</si>
  <si>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</si>
  <si>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</si>
  <si>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</si>
  <si>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</si>
  <si>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</si>
  <si>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</si>
  <si>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</si>
  <si>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</si>
  <si>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</si>
  <si>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</si>
  <si>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</si>
  <si>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</si>
  <si>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</si>
  <si>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</si>
  <si>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</si>
  <si>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</si>
  <si>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</si>
  <si>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</si>
  <si>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</si>
  <si>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</si>
  <si>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</si>
  <si>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</si>
  <si>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</si>
  <si>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</si>
  <si>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</si>
  <si>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</si>
  <si>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</si>
  <si>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</si>
  <si>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</si>
  <si>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</si>
  <si>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</si>
  <si>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</si>
  <si>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</si>
  <si>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</si>
  <si>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</si>
  <si>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</si>
  <si>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</si>
  <si>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</si>
  <si>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</si>
  <si>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</si>
  <si>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</si>
  <si>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</si>
  <si>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</si>
  <si>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</si>
  <si>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</si>
  <si>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</si>
  <si>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</si>
  <si>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</si>
  <si>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</si>
  <si>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</si>
  <si>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</si>
  <si>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</si>
  <si>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</si>
  <si>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</si>
  <si>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</si>
  <si>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</si>
  <si>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</si>
  <si>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</si>
  <si>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</si>
  <si>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</si>
  <si>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</si>
  <si>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</si>
  <si>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</si>
  <si>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</si>
  <si>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</si>
  <si>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</si>
  <si>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</si>
  <si>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</si>
  <si>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</si>
  <si>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</si>
  <si>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</si>
  <si>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</si>
  <si>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</si>
  <si>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</si>
  <si>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</si>
  <si>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</si>
  <si>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</si>
  <si>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</si>
  <si>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</si>
  <si>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</si>
  <si>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</si>
  <si>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</si>
  <si>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</si>
  <si>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</si>
  <si>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</si>
  <si>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</si>
  <si>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</si>
  <si>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</si>
  <si>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</si>
  <si>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</si>
  <si>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</si>
  <si>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</si>
  <si>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</si>
  <si>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</si>
  <si>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</si>
  <si>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</si>
  <si>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</si>
  <si>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</si>
  <si>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</si>
  <si>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</si>
  <si>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</si>
  <si>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</si>
  <si>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</si>
  <si>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</si>
  <si>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</si>
  <si>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</si>
  <si>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</si>
  <si>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</si>
  <si>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</si>
  <si>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</si>
  <si>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</si>
  <si>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</si>
  <si>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</si>
  <si>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</si>
  <si>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</si>
  <si>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</si>
  <si>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</si>
  <si>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</si>
  <si>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</si>
  <si>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</si>
  <si>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</si>
  <si>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</si>
  <si>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</si>
  <si>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</si>
  <si>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</si>
  <si>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</si>
  <si>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</si>
  <si>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</si>
  <si>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</si>
  <si>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</si>
  <si>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</si>
  <si>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</si>
  <si>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</si>
  <si>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</si>
  <si>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</si>
  <si>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</si>
  <si>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</si>
  <si>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</si>
  <si>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</si>
  <si>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</si>
  <si>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</si>
  <si>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</si>
  <si>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</si>
  <si>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</si>
  <si>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</si>
  <si>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</si>
  <si>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</si>
  <si>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</si>
  <si>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</si>
  <si>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</si>
  <si>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</si>
  <si>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</si>
  <si>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</si>
  <si>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</si>
  <si>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</si>
  <si>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</si>
  <si>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</si>
  <si>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</si>
  <si>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</si>
  <si>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</si>
  <si>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</si>
  <si>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</si>
  <si>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</si>
  <si>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</si>
  <si>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</si>
  <si>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</si>
  <si>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</si>
  <si>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</si>
  <si>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</si>
  <si>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</si>
  <si>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</si>
  <si>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</si>
  <si>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</si>
  <si>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</si>
  <si>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</si>
  <si>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</si>
  <si>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</si>
  <si>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</si>
  <si>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</si>
  <si>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</si>
  <si>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</si>
  <si>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</si>
  <si>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</si>
  <si>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</si>
  <si>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</si>
  <si>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</si>
  <si>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</si>
  <si>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</si>
  <si>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</si>
  <si>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</si>
  <si>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</si>
  <si>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</si>
  <si>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</si>
  <si>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</si>
  <si>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</si>
  <si>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</si>
  <si>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</si>
  <si>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</si>
  <si>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</si>
  <si>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</si>
  <si>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</si>
  <si>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</si>
  <si>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</si>
  <si>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</si>
  <si>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</si>
  <si>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</si>
  <si>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</si>
  <si>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</si>
  <si>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</si>
  <si>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</si>
  <si>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</si>
  <si>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</si>
  <si>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</si>
  <si>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</si>
  <si>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</si>
  <si>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</si>
  <si>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</si>
  <si>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</si>
  <si>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</si>
  <si>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</si>
  <si>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</si>
  <si>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</si>
  <si>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</si>
  <si>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</si>
  <si>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</si>
  <si>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</si>
  <si>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</si>
  <si>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</si>
  <si>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</si>
  <si>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</si>
  <si>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</si>
  <si>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</si>
  <si>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</si>
  <si>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</si>
  <si>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</si>
  <si>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</si>
  <si>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</si>
  <si>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</si>
  <si>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</si>
  <si>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</si>
  <si>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</si>
  <si>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</si>
  <si>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</si>
  <si>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</si>
  <si>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</si>
  <si>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</si>
  <si>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</si>
  <si>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</si>
  <si>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</si>
  <si>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</si>
  <si>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</si>
  <si>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</si>
  <si>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</si>
  <si>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</si>
  <si>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</si>
  <si>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</si>
  <si>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</si>
  <si>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</si>
  <si>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</si>
  <si>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</si>
  <si>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</si>
  <si>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</si>
  <si>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</si>
  <si>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</si>
  <si>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</si>
  <si>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</si>
  <si>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</si>
  <si>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</si>
  <si>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</si>
  <si>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</si>
  <si>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</si>
  <si>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</si>
  <si>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</si>
  <si>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</si>
  <si>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</si>
  <si>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</si>
  <si>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</si>
  <si>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</si>
  <si>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</si>
  <si>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</si>
  <si>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</si>
  <si>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</si>
  <si>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</si>
  <si>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</si>
  <si>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</si>
  <si>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</si>
  <si>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</si>
  <si>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</si>
  <si>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</si>
  <si>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</si>
  <si>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</si>
  <si>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</si>
  <si>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</si>
  <si>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</si>
  <si>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</si>
  <si>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</si>
  <si>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</si>
  <si>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</si>
  <si>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</si>
  <si>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</si>
  <si>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</si>
  <si>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</si>
  <si>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</si>
  <si>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</si>
  <si>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</si>
  <si>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</si>
  <si>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</si>
  <si>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</si>
  <si>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</si>
  <si>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</si>
  <si>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</si>
  <si>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</si>
  <si>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</si>
  <si>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</si>
  <si>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</si>
  <si>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</si>
  <si>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</si>
  <si>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</si>
  <si>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</si>
  <si>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</si>
  <si>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</si>
  <si>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</si>
  <si>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</si>
  <si>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</si>
  <si>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</si>
  <si>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</si>
  <si>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</si>
  <si>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</si>
  <si>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</si>
  <si>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</si>
  <si>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</si>
  <si>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</si>
  <si>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</si>
  <si>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</si>
  <si>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</si>
  <si>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</si>
  <si>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</si>
  <si>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</si>
  <si>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</si>
  <si>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</si>
  <si>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</si>
  <si>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</si>
  <si>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</si>
  <si>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</si>
  <si>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</si>
  <si>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</si>
  <si>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</si>
  <si>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</si>
  <si>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</si>
  <si>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</si>
  <si>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</si>
  <si>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</si>
  <si>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</si>
  <si>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</si>
  <si>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</si>
  <si>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</si>
  <si>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</si>
  <si>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</si>
  <si>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</si>
  <si>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</si>
  <si>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</si>
  <si>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</si>
  <si>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</si>
  <si>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</si>
  <si>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</si>
  <si>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</si>
  <si>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</si>
  <si>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</si>
  <si>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</si>
  <si>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</si>
  <si>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</si>
  <si>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</si>
  <si>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</si>
  <si>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</si>
  <si>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</si>
  <si>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</si>
  <si>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</si>
  <si>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</si>
  <si>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</si>
  <si>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</si>
  <si>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</si>
  <si>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</si>
  <si>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</si>
  <si>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</si>
  <si>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</si>
  <si>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</si>
  <si>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</si>
  <si>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</si>
  <si>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</si>
  <si>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</si>
  <si>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</si>
  <si>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</si>
  <si>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</si>
  <si>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</si>
  <si>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</si>
  <si>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</si>
  <si>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</si>
  <si>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</si>
  <si>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</si>
  <si>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</si>
  <si>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</si>
  <si>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</si>
  <si>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</si>
  <si>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</si>
  <si>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</si>
  <si>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</si>
  <si>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</si>
  <si>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</si>
  <si>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</si>
  <si>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</si>
  <si>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</si>
  <si>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</si>
  <si>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</si>
  <si>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</si>
  <si>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</si>
  <si>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</si>
  <si>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</si>
  <si>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</si>
  <si>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</si>
  <si>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</si>
  <si>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</si>
  <si>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</si>
  <si>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</si>
  <si>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</si>
  <si>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</si>
  <si>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</si>
  <si>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</si>
  <si>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</si>
  <si>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</si>
  <si>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</si>
  <si>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</si>
  <si>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</si>
  <si>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</si>
  <si>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</si>
  <si>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</si>
  <si>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</si>
  <si>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</si>
  <si>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</si>
  <si>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</si>
  <si>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</si>
  <si>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</si>
  <si>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</si>
  <si>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</si>
  <si>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</si>
  <si>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</si>
  <si>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</si>
  <si>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</si>
  <si>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</si>
  <si>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</si>
  <si>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</si>
  <si>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</si>
  <si>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</si>
  <si>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</si>
  <si>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</si>
  <si>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</si>
  <si>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</si>
  <si>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</si>
  <si>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</si>
  <si>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</si>
  <si>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</si>
  <si>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</si>
  <si>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</si>
  <si>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</si>
  <si>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</si>
  <si>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</si>
  <si>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</si>
  <si>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</si>
  <si>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</si>
  <si>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</si>
  <si>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</si>
  <si>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</si>
  <si>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</si>
  <si>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</si>
  <si>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</si>
  <si>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</si>
  <si>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</si>
  <si>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</si>
  <si>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</si>
  <si>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</si>
  <si>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</si>
  <si>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</si>
  <si>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</si>
  <si>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</si>
  <si>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</si>
  <si>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</si>
  <si>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</si>
  <si>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</si>
  <si>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</si>
  <si>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</si>
  <si>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</si>
  <si>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</si>
  <si>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</si>
  <si>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</si>
  <si>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</si>
  <si>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</si>
  <si>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</si>
  <si>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</si>
  <si>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</si>
  <si>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</si>
  <si>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</si>
  <si>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</si>
  <si>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</si>
  <si>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</si>
  <si>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</si>
  <si>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</si>
  <si>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</si>
  <si>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</si>
  <si>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</si>
  <si>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</si>
  <si>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</si>
  <si>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</si>
  <si>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</si>
  <si>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</si>
  <si>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</si>
  <si>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</si>
  <si>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</si>
  <si>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</si>
  <si>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</si>
  <si>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</si>
  <si>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</si>
  <si>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</si>
  <si>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</si>
  <si>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</si>
  <si>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</si>
  <si>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</si>
  <si>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</si>
  <si>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</si>
  <si>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</si>
  <si>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</si>
  <si>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</si>
  <si>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</si>
  <si>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</si>
  <si>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</si>
  <si>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</si>
  <si>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</si>
  <si>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</si>
  <si>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</si>
  <si>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</si>
  <si>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</si>
  <si>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</si>
  <si>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</si>
  <si>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</si>
  <si>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</si>
  <si>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</si>
  <si>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</si>
  <si>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</si>
  <si>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</si>
  <si>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</si>
  <si>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</si>
  <si>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</si>
  <si>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</si>
  <si>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</si>
  <si>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</si>
  <si>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</si>
  <si>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</si>
  <si>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</si>
  <si>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</si>
  <si>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</si>
  <si>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</si>
  <si>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</si>
  <si>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</si>
  <si>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</si>
  <si>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</si>
  <si>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</si>
  <si>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</si>
  <si>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</si>
  <si>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</si>
  <si>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</si>
  <si>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</si>
  <si>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</si>
  <si>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</si>
  <si>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</si>
  <si>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</si>
  <si>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</si>
  <si>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</si>
  <si>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</si>
  <si>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</si>
  <si>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</si>
  <si>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</si>
  <si>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</si>
  <si>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</si>
  <si>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</si>
  <si>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</si>
  <si>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</si>
  <si>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</si>
  <si>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</si>
  <si>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</si>
  <si>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</si>
  <si>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</si>
  <si>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</si>
  <si>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</si>
  <si>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</si>
  <si>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</si>
  <si>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</si>
  <si>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</si>
  <si>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</si>
  <si>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</si>
  <si>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</si>
  <si>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</si>
  <si>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</si>
  <si>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</si>
  <si>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</si>
  <si>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</si>
  <si>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</si>
  <si>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</si>
  <si>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</si>
  <si>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</si>
  <si>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</si>
  <si>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</si>
  <si>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</si>
  <si>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</si>
  <si>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</si>
  <si>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</si>
  <si>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</si>
  <si>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</si>
  <si>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</si>
  <si>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</si>
  <si>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</si>
  <si>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</si>
  <si>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</si>
  <si>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</si>
  <si>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</si>
  <si>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</si>
  <si>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</si>
  <si>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</si>
  <si>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</si>
  <si>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</si>
  <si>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</si>
  <si>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</si>
  <si>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</si>
  <si>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</si>
  <si>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</si>
  <si>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</si>
  <si>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</si>
  <si>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</si>
  <si>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</si>
  <si>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</si>
  <si>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</si>
  <si>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</si>
  <si>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</si>
  <si>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</si>
  <si>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</si>
  <si>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</si>
  <si>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</si>
  <si>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</si>
  <si>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</si>
  <si>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</si>
  <si>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</si>
  <si>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</si>
  <si>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</si>
  <si>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</si>
  <si>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</si>
  <si>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</si>
  <si>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</si>
  <si>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</si>
  <si>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</si>
  <si>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</si>
  <si>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</si>
  <si>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</si>
  <si>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</si>
  <si>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</si>
  <si>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</si>
  <si>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</si>
  <si>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</si>
  <si>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</si>
  <si>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</si>
  <si>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</si>
  <si>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</si>
  <si>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</si>
  <si>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</si>
  <si>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</si>
  <si>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</si>
  <si>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</si>
  <si>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</si>
  <si>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</si>
  <si>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</si>
  <si>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</si>
  <si>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</si>
  <si>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</si>
  <si>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</si>
  <si>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</si>
  <si>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</si>
  <si>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</si>
  <si>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</si>
  <si>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</si>
  <si>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</si>
  <si>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</si>
  <si>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</si>
  <si>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</si>
  <si>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</si>
  <si>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</si>
  <si>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</si>
  <si>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</si>
  <si>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</si>
  <si>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</si>
  <si>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</si>
  <si>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</si>
  <si>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</si>
  <si>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</si>
  <si>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</si>
  <si>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</si>
  <si>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</si>
  <si>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</si>
  <si>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</si>
  <si>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</si>
  <si>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</si>
  <si>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</si>
  <si>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</si>
  <si>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</si>
  <si>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</si>
  <si>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</si>
  <si>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</si>
  <si>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</si>
  <si>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</si>
  <si>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</si>
  <si>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</si>
  <si>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</si>
  <si>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</si>
  <si>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</si>
  <si>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</si>
  <si>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</si>
  <si>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</si>
  <si>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</si>
  <si>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</si>
  <si>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</si>
  <si>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</si>
  <si>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</si>
  <si>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</si>
  <si>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</si>
  <si>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</si>
  <si>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</si>
  <si>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</si>
  <si>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</si>
  <si>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</si>
  <si>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</si>
  <si>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</si>
  <si>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</si>
  <si>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</si>
  <si>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</si>
  <si>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</si>
  <si>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</si>
  <si>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</si>
  <si>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</si>
  <si>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</si>
  <si>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</si>
  <si>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</si>
  <si>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</si>
  <si>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</si>
  <si>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</si>
  <si>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</si>
  <si>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</si>
  <si>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</si>
  <si>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</si>
  <si>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</si>
  <si>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</si>
  <si>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</si>
  <si>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</si>
  <si>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</si>
  <si>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</si>
  <si>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</si>
  <si>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</si>
  <si>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</si>
  <si>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</si>
  <si>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</si>
  <si>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</si>
  <si>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</si>
  <si>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</si>
  <si>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</si>
  <si>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</si>
  <si>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</si>
  <si>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</si>
  <si>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</si>
  <si>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</si>
  <si>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</si>
  <si>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</si>
  <si>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</si>
  <si>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</si>
  <si>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</si>
  <si>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</si>
  <si>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</si>
  <si>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</si>
  <si>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</si>
  <si>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</si>
  <si>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</si>
  <si>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</si>
  <si>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</si>
  <si>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</si>
  <si>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</si>
  <si>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</si>
  <si>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</si>
  <si>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</si>
  <si>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</si>
  <si>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</si>
  <si>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</si>
  <si>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</si>
  <si>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</si>
  <si>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</si>
  <si>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</si>
  <si>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</si>
  <si>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</si>
  <si>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</si>
  <si>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</si>
  <si>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</si>
  <si>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</si>
  <si>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</si>
  <si>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</si>
  <si>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</si>
  <si>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</si>
  <si>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</si>
  <si>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</si>
  <si>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</si>
  <si>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</si>
  <si>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</si>
  <si>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</si>
  <si>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</si>
  <si>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</si>
  <si>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</si>
  <si>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</si>
  <si>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</si>
  <si>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</si>
  <si>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</si>
  <si>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</si>
  <si>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</si>
  <si>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</si>
  <si>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</si>
  <si>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</si>
  <si>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</si>
  <si>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</si>
  <si>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</si>
  <si>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</si>
  <si>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</si>
  <si>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</si>
  <si>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</si>
  <si>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</si>
  <si>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</si>
  <si>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</si>
  <si>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</si>
  <si>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</si>
  <si>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</si>
  <si>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</si>
  <si>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</si>
  <si>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</si>
  <si>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</si>
  <si>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</si>
  <si>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</si>
  <si>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</si>
  <si>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</si>
  <si>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</si>
  <si>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</si>
  <si>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</si>
  <si>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</si>
  <si>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</si>
  <si>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</si>
  <si>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</si>
  <si>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</si>
  <si>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</si>
  <si>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</si>
  <si>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</si>
  <si>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</si>
  <si>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</si>
  <si>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</si>
  <si>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</si>
  <si>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</si>
  <si>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</si>
  <si>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</si>
  <si>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</si>
  <si>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</si>
  <si>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</si>
  <si>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</si>
  <si>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</si>
  <si>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</si>
  <si>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</si>
  <si>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</si>
  <si>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</si>
  <si>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</si>
  <si>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</si>
  <si>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</si>
  <si>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</si>
  <si>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</si>
  <si>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</si>
  <si>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</si>
  <si>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</si>
  <si>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</si>
  <si>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</si>
  <si>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</si>
  <si>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</si>
  <si>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</si>
  <si>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</si>
  <si>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</si>
  <si>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</si>
  <si>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</si>
  <si>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</si>
  <si>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</si>
  <si>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</si>
  <si>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</si>
  <si>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</si>
  <si>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</si>
  <si>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</si>
  <si>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</si>
  <si>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</si>
  <si>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</si>
  <si>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</si>
  <si>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</si>
  <si>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</si>
  <si>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</si>
  <si>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</si>
  <si>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</si>
  <si>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</si>
  <si>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</si>
  <si>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</si>
  <si>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</si>
  <si>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</si>
  <si>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</si>
  <si>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</si>
  <si>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</si>
  <si>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</si>
  <si>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</si>
  <si>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</si>
  <si>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</si>
  <si>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</si>
  <si>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</si>
  <si>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</si>
  <si>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</si>
  <si>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</si>
  <si>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</si>
  <si>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</si>
  <si>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</si>
  <si>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</si>
  <si>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</si>
  <si>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</si>
  <si>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</si>
  <si>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</si>
  <si>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</si>
  <si>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</si>
  <si>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</si>
  <si>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</si>
  <si>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</si>
  <si>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</si>
  <si>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</si>
  <si>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</si>
  <si>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</si>
  <si>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</si>
  <si>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</si>
  <si>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</si>
  <si>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</si>
  <si>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</si>
  <si>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</si>
  <si>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</si>
  <si>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</si>
  <si>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</si>
  <si>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</si>
  <si>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</si>
  <si>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</si>
  <si>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</si>
  <si>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</si>
  <si>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</si>
  <si>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</si>
  <si>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</si>
  <si>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</si>
  <si>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</si>
  <si>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</si>
  <si>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</si>
  <si>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</si>
  <si>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</si>
  <si>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</si>
  <si>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</si>
  <si>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</si>
  <si>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</si>
  <si>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</si>
  <si>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</si>
  <si>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</si>
  <si>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</si>
  <si>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</si>
  <si>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</si>
  <si>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</si>
  <si>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</si>
  <si>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</si>
  <si>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</si>
  <si>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</si>
  <si>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</si>
  <si>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</si>
  <si>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</si>
  <si>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</si>
  <si>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</si>
  <si>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</si>
  <si>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</si>
  <si>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</si>
  <si>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</si>
  <si>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</si>
  <si>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</si>
  <si>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</si>
  <si>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</si>
  <si>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</si>
  <si>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</si>
  <si>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</si>
  <si>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</si>
  <si>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</si>
  <si>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</si>
  <si>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</si>
  <si>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</si>
  <si>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</si>
  <si>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</si>
  <si>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</si>
  <si>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</si>
  <si>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</si>
  <si>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</si>
  <si>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</si>
  <si>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</si>
  <si>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</si>
  <si>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</si>
  <si>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</si>
  <si>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</si>
  <si>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</si>
  <si>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</si>
  <si>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</si>
  <si>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</si>
  <si>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</si>
  <si>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</si>
  <si>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</si>
  <si>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</si>
  <si>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</si>
  <si>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</si>
  <si>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</si>
  <si>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</si>
  <si>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</si>
  <si>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</si>
  <si>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</si>
  <si>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</si>
  <si>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</si>
  <si>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</si>
  <si>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</si>
  <si>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</si>
  <si>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</si>
  <si>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</si>
  <si>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</si>
  <si>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</si>
  <si>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</si>
  <si>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</si>
  <si>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</si>
  <si>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</si>
  <si>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</si>
  <si>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</si>
  <si>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</si>
  <si>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</si>
  <si>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</si>
  <si>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</si>
  <si>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</si>
  <si>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</si>
  <si>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</si>
  <si>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</si>
  <si>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</si>
  <si>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</si>
  <si>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</si>
  <si>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</si>
  <si>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</si>
  <si>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</si>
  <si>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</si>
  <si>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</si>
  <si>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</si>
  <si>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</si>
  <si>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</si>
  <si>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</si>
  <si>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</si>
  <si>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</si>
  <si>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</si>
  <si>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</si>
  <si>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</si>
  <si>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</si>
  <si>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</si>
  <si>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</si>
  <si>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</si>
  <si>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</si>
  <si>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</si>
  <si>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</si>
  <si>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</si>
  <si>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</si>
  <si>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</si>
  <si>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</si>
  <si>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</si>
  <si>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</si>
  <si>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</si>
  <si>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</si>
  <si>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</si>
  <si>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</si>
  <si>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</si>
  <si>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</si>
  <si>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</si>
  <si>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</si>
  <si>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</si>
  <si>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</si>
  <si>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</si>
  <si>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</si>
  <si>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</si>
  <si>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</si>
  <si>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</si>
  <si>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</si>
  <si>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</si>
  <si>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</si>
  <si>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</si>
  <si>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</si>
  <si>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</si>
  <si>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</si>
  <si>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</si>
  <si>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</si>
  <si>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</si>
  <si>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</si>
  <si>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</si>
  <si>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</si>
  <si>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</si>
  <si>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</si>
  <si>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</si>
  <si>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</si>
  <si>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</si>
  <si>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</si>
  <si>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</si>
  <si>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</si>
  <si>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</si>
  <si>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</si>
  <si>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</si>
  <si>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</si>
  <si>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</si>
  <si>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</si>
  <si>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</si>
  <si>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</si>
  <si>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</si>
  <si>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</si>
  <si>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</si>
  <si>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</si>
  <si>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</si>
  <si>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</si>
  <si>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</si>
  <si>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</si>
  <si>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</si>
  <si>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</si>
  <si>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</si>
  <si>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</si>
  <si>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</si>
  <si>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</si>
  <si>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</si>
  <si>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</si>
  <si>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</si>
  <si>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</si>
  <si>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</si>
  <si>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</si>
  <si>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</si>
  <si>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</si>
  <si>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</si>
  <si>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</si>
  <si>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</si>
  <si>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</si>
  <si>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</si>
  <si>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</si>
  <si>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</si>
  <si>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</si>
  <si>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</si>
  <si>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</si>
  <si>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</si>
  <si>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</si>
  <si>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</si>
  <si>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</si>
  <si>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</si>
  <si>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</si>
  <si>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</si>
  <si>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</si>
  <si>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</si>
  <si>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</si>
  <si>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</si>
  <si>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</si>
  <si>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</si>
  <si>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</si>
  <si>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</si>
  <si>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</si>
  <si>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</si>
  <si>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</si>
  <si>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</si>
  <si>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</si>
  <si>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</si>
  <si>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</si>
  <si>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</si>
  <si>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</si>
  <si>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</si>
  <si>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</si>
  <si>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</si>
  <si>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</si>
  <si>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</si>
  <si>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</si>
  <si>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</si>
  <si>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</si>
  <si>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</si>
  <si>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</si>
  <si>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</si>
  <si>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</si>
  <si>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</si>
  <si>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</si>
  <si>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</si>
  <si>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</si>
  <si>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</si>
  <si>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</si>
  <si>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</si>
  <si>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</si>
  <si>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</si>
  <si>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</si>
  <si>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</si>
  <si>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</si>
  <si>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</si>
  <si>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</si>
  <si>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</si>
  <si>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</si>
  <si>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</si>
  <si>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</si>
  <si>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</si>
  <si>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</si>
  <si>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</si>
  <si>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</si>
  <si>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</si>
  <si>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</si>
  <si>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</si>
  <si>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</si>
  <si>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</si>
  <si>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</si>
  <si>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</si>
  <si>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</si>
  <si>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</si>
  <si>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</si>
  <si>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</si>
  <si>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</si>
  <si>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</si>
  <si>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</si>
  <si>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</si>
  <si>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</si>
  <si>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</si>
  <si>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</si>
  <si>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</si>
  <si>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</si>
  <si>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</si>
  <si>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</si>
  <si>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</si>
  <si>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</si>
  <si>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</si>
  <si>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</si>
  <si>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</si>
  <si>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</si>
  <si>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</si>
  <si>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</si>
  <si>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</si>
  <si>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</si>
  <si>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</si>
  <si>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</si>
  <si>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</si>
  <si>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</si>
  <si>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</si>
  <si>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</si>
  <si>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</si>
  <si>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</si>
  <si>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</si>
  <si>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</si>
  <si>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</si>
  <si>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</si>
  <si>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</si>
  <si>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</si>
  <si>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</si>
  <si>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</si>
  <si>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</si>
  <si>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</si>
  <si>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</si>
  <si>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</si>
  <si>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</si>
  <si>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</si>
  <si>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</si>
  <si>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</si>
  <si>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</si>
  <si>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</si>
  <si>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</si>
  <si>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</si>
  <si>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</si>
  <si>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</si>
  <si>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</si>
  <si>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</si>
  <si>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</si>
  <si>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</si>
  <si>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</si>
  <si>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</si>
  <si>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</si>
  <si>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</si>
  <si>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</si>
  <si>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</si>
  <si>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</si>
  <si>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</si>
  <si>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</si>
  <si>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</si>
  <si>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</si>
  <si>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</si>
  <si>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</si>
  <si>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</si>
  <si>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</si>
  <si>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</si>
  <si>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</si>
  <si>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</si>
  <si>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</si>
  <si>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</si>
  <si>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</si>
  <si>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</si>
  <si>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</si>
  <si>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</si>
  <si>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</si>
  <si>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</si>
  <si>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</si>
  <si>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</si>
  <si>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</si>
  <si>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</si>
  <si>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</si>
  <si>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</si>
  <si>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</si>
  <si>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</si>
  <si>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</si>
  <si>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</si>
  <si>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</si>
  <si>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</si>
  <si>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</si>
  <si>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</si>
  <si>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</si>
  <si>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</si>
  <si>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</si>
  <si>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</si>
  <si>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</si>
  <si>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</si>
  <si>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</si>
  <si>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</si>
  <si>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</si>
  <si>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</si>
  <si>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</si>
  <si>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</si>
  <si>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</si>
  <si>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</si>
  <si>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</si>
  <si>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</si>
  <si>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</si>
  <si>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</si>
  <si>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</si>
  <si>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</si>
  <si>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</si>
  <si>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</si>
  <si>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</si>
  <si>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</si>
  <si>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</si>
  <si>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</si>
  <si>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</si>
  <si>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</si>
  <si>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</si>
  <si>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</si>
  <si>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</si>
  <si>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</si>
  <si>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</si>
  <si>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</si>
  <si>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</si>
  <si>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</si>
  <si>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</si>
  <si>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</si>
  <si>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</si>
  <si>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</si>
  <si>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</si>
  <si>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</si>
  <si>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</si>
  <si>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</si>
  <si>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</si>
  <si>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</si>
  <si>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</si>
  <si>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</si>
  <si>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</si>
  <si>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</si>
  <si>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</si>
  <si>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</si>
  <si>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</si>
  <si>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</si>
  <si>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</si>
  <si>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</si>
  <si>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</si>
  <si>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</si>
  <si>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</si>
  <si>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</si>
  <si>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</si>
  <si>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</si>
  <si>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</si>
  <si>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</si>
  <si>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</si>
  <si>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</si>
  <si>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</si>
  <si>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</si>
  <si>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</si>
  <si>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</si>
  <si>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</si>
  <si>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</si>
  <si>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</si>
  <si>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</si>
  <si>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</si>
  <si>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</si>
  <si>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</si>
  <si>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</si>
  <si>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</si>
  <si>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</si>
  <si>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</si>
  <si>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</si>
  <si>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</si>
  <si>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</si>
  <si>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</si>
  <si>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</si>
  <si>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</si>
  <si>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</si>
  <si>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</si>
  <si>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</si>
  <si>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</si>
  <si>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</si>
  <si>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</si>
  <si>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</si>
  <si>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</si>
  <si>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</si>
  <si>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</si>
  <si>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</si>
  <si>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</si>
  <si>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</si>
  <si>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</si>
  <si>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</si>
  <si>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</si>
  <si>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</si>
  <si>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</si>
  <si>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</si>
  <si>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</si>
  <si>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</si>
  <si>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</si>
  <si>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</si>
  <si>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</si>
  <si>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</si>
  <si>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</si>
  <si>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</si>
  <si>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</si>
  <si>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</si>
  <si>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</si>
  <si>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</si>
  <si>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</si>
  <si>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</si>
  <si>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</si>
  <si>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</si>
  <si>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</si>
  <si>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</si>
  <si>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</si>
  <si>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</si>
  <si>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</si>
  <si>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</si>
  <si>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</si>
  <si>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</si>
  <si>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</si>
  <si>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</si>
  <si>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</si>
  <si>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</si>
  <si>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</si>
  <si>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</si>
  <si>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</si>
  <si>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</si>
  <si>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</si>
  <si>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</si>
  <si>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</si>
  <si>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</si>
  <si>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</si>
  <si>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</si>
  <si>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</si>
  <si>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</si>
  <si>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</si>
  <si>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</si>
  <si>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</si>
  <si>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</si>
  <si>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</si>
  <si>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</si>
  <si>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</si>
  <si>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</si>
  <si>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</si>
  <si>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</si>
  <si>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</si>
  <si>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</si>
  <si>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</si>
  <si>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</si>
  <si>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</si>
  <si>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</si>
  <si>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</si>
  <si>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</si>
  <si>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</si>
  <si>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</si>
  <si>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</si>
  <si>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</si>
  <si>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</si>
  <si>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</si>
  <si>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</si>
  <si>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</si>
  <si>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</si>
  <si>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</si>
  <si>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</si>
  <si>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</si>
  <si>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</si>
  <si>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</si>
  <si>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</si>
  <si>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</si>
  <si>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</si>
  <si>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</si>
  <si>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</si>
  <si>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</si>
  <si>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</si>
  <si>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</si>
  <si>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</si>
  <si>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</si>
  <si>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</si>
  <si>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</si>
  <si>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</si>
  <si>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</si>
  <si>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</si>
  <si>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</si>
  <si>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</si>
  <si>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</si>
  <si>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</si>
  <si>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</si>
  <si>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</si>
  <si>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</si>
  <si>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</si>
  <si>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</si>
  <si>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</si>
  <si>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</si>
  <si>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</si>
  <si>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</si>
  <si>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</si>
  <si>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</si>
  <si>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</si>
  <si>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</si>
  <si>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</si>
  <si>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</si>
  <si>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</si>
  <si>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</si>
  <si>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</si>
  <si>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</si>
  <si>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</si>
  <si>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</si>
  <si>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</si>
  <si>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</si>
  <si>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</si>
  <si>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</si>
  <si>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</si>
  <si>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</si>
  <si>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</si>
  <si>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</si>
  <si>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</si>
  <si>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</si>
  <si>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</si>
  <si>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</si>
  <si>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</si>
  <si>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</si>
  <si>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</si>
  <si>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</si>
  <si>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</si>
  <si>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</si>
  <si>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</si>
  <si>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</si>
  <si>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</si>
  <si>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</si>
  <si>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</si>
  <si>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</si>
  <si>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</si>
  <si>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</si>
  <si>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</si>
  <si>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</si>
  <si>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</si>
  <si>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</si>
  <si>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</si>
  <si>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</si>
  <si>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</si>
  <si>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</si>
  <si>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</si>
  <si>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</si>
  <si>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</si>
  <si>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</si>
  <si>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</si>
  <si>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</si>
  <si>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</si>
  <si>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</si>
  <si>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</si>
  <si>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</si>
  <si>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</si>
  <si>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</si>
  <si>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</si>
  <si>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</si>
  <si>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</si>
  <si>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</si>
  <si>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</si>
  <si>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</si>
  <si>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</si>
  <si>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</si>
  <si>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</si>
  <si>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</si>
  <si>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</si>
  <si>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</si>
  <si>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</si>
  <si>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</si>
  <si>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</si>
  <si>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</si>
  <si>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</si>
  <si>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</si>
  <si>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</si>
  <si>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</si>
  <si>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</si>
  <si>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</si>
  <si>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</si>
  <si>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</si>
  <si>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</si>
  <si>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</si>
  <si>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</si>
  <si>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</si>
  <si>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</si>
  <si>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</si>
  <si>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</si>
  <si>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</si>
  <si>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</si>
  <si>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</si>
  <si>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</si>
  <si>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</si>
  <si>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</si>
  <si>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</si>
  <si>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</si>
  <si>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</si>
  <si>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</si>
  <si>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</si>
  <si>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</si>
  <si>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</si>
  <si>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</si>
  <si>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</si>
  <si>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</si>
  <si>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</si>
  <si>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</si>
  <si>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</si>
  <si>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</si>
  <si>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</si>
  <si>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</si>
  <si>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</si>
  <si>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</si>
  <si>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</si>
  <si>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</si>
  <si>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</si>
  <si>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</si>
  <si>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</si>
  <si>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</si>
  <si>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</si>
  <si>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</si>
  <si>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</si>
  <si>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</si>
  <si>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</si>
  <si>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</si>
  <si>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</si>
  <si>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</si>
  <si>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</si>
  <si>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</si>
  <si>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</si>
  <si>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</si>
  <si>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</si>
  <si>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</si>
  <si>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</si>
  <si>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</si>
  <si>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</si>
  <si>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</si>
  <si>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</si>
  <si>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</si>
  <si>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</si>
  <si>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</si>
  <si>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</si>
  <si>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</si>
  <si>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</si>
  <si>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</si>
  <si>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</si>
  <si>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</si>
  <si>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</si>
  <si>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</si>
  <si>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</si>
  <si>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</si>
  <si>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</si>
  <si>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</si>
  <si>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</si>
  <si>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</si>
  <si>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</si>
  <si>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</si>
  <si>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</si>
  <si>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</si>
  <si>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</si>
  <si>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</si>
  <si>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</si>
  <si>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</si>
  <si>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</si>
  <si>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</si>
  <si>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</si>
  <si>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</si>
  <si>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</si>
  <si>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</si>
  <si>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</si>
  <si>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</si>
  <si>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</si>
  <si>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</si>
  <si>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</si>
  <si>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</si>
  <si>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</si>
  <si>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</si>
  <si>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</si>
  <si>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</si>
  <si>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</si>
  <si>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</si>
  <si>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</si>
  <si>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</si>
  <si>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</si>
  <si>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</si>
  <si>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</si>
  <si>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</si>
  <si>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</si>
  <si>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</si>
  <si>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</si>
  <si>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</si>
  <si>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</si>
  <si>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</si>
  <si>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</si>
  <si>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</si>
  <si>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</si>
  <si>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</si>
  <si>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</si>
  <si>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</si>
  <si>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</si>
  <si>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</si>
  <si>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</si>
  <si>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</si>
  <si>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</si>
  <si>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</si>
  <si>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</si>
  <si>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</si>
  <si>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</si>
  <si>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</si>
  <si>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</si>
  <si>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</si>
  <si>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</si>
  <si>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</si>
  <si>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</si>
  <si>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</si>
  <si>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</si>
  <si>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</si>
  <si>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</si>
  <si>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</si>
  <si>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</si>
  <si>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</si>
  <si>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</si>
  <si>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</si>
  <si>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</si>
  <si>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</si>
  <si>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</si>
  <si>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</si>
  <si>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</si>
  <si>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</si>
  <si>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</si>
  <si>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</si>
  <si>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</si>
  <si>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</si>
  <si>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</si>
  <si>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</si>
  <si>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</si>
  <si>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</si>
  <si>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</si>
  <si>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</si>
  <si>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</si>
  <si>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</si>
  <si>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</si>
  <si>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</si>
  <si>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</si>
  <si>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</si>
  <si>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</si>
  <si>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</si>
  <si>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</si>
  <si>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</si>
  <si>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</si>
  <si>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</si>
  <si>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</si>
  <si>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</si>
  <si>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</si>
  <si>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</si>
  <si>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</si>
  <si>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</si>
  <si>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</si>
  <si>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</si>
  <si>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</si>
  <si>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</si>
  <si>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</si>
  <si>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</si>
  <si>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</si>
  <si>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</si>
  <si>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</si>
  <si>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</si>
  <si>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</si>
  <si>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</si>
  <si>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</si>
  <si>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</si>
  <si>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</si>
  <si>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</si>
  <si>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</si>
  <si>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</si>
  <si>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</si>
  <si>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</si>
  <si>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</si>
  <si>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</si>
  <si>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</si>
  <si>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</si>
  <si>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</si>
  <si>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</si>
  <si>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</si>
  <si>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</si>
  <si>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</si>
  <si>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</si>
  <si>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</si>
  <si>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</si>
  <si>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</si>
  <si>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</si>
  <si>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</si>
  <si>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</si>
  <si>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</si>
  <si>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</si>
  <si>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</si>
  <si>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</si>
  <si>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</si>
  <si>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</si>
  <si>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</si>
  <si>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</si>
  <si>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</si>
  <si>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</si>
  <si>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</si>
  <si>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</si>
  <si>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</si>
  <si>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</si>
  <si>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</si>
  <si>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</si>
  <si>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</si>
  <si>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</si>
  <si>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</si>
  <si>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</si>
  <si>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</si>
  <si>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</si>
  <si>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</si>
  <si>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</si>
  <si>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</si>
  <si>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</si>
  <si>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</si>
  <si>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</si>
  <si>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</si>
  <si>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</si>
  <si>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</si>
  <si>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</si>
  <si>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</si>
  <si>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</si>
  <si>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</si>
  <si>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</si>
  <si>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</si>
  <si>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</si>
  <si>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</si>
  <si>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</si>
  <si>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</si>
  <si>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</si>
  <si>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</si>
  <si>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</si>
  <si>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</si>
  <si>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</si>
  <si>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</si>
  <si>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</si>
  <si>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</si>
  <si>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</si>
  <si>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</si>
  <si>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</si>
  <si>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</si>
  <si>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</si>
  <si>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</si>
  <si>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</si>
  <si>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</si>
  <si>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</si>
  <si>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</si>
  <si>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</si>
  <si>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</si>
  <si>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</si>
  <si>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</si>
  <si>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</si>
  <si>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</si>
  <si>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</si>
  <si>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</si>
  <si>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</si>
  <si>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</si>
  <si>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</si>
  <si>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</si>
  <si>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</si>
  <si>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</si>
  <si>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</si>
  <si>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</si>
  <si>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</si>
  <si>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</si>
  <si>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</si>
  <si>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</si>
  <si>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</si>
  <si>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</si>
  <si>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</si>
  <si>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</si>
  <si>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</si>
  <si>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</si>
  <si>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</si>
  <si>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</si>
  <si>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</si>
  <si>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</si>
  <si>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</si>
  <si>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</si>
  <si>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</si>
  <si>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</si>
  <si>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</si>
  <si>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</si>
  <si>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</si>
  <si>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</si>
  <si>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</si>
  <si>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</si>
  <si>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</si>
  <si>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</si>
  <si>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</si>
  <si>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</si>
  <si>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</si>
  <si>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</si>
  <si>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</si>
  <si>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</si>
  <si>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</si>
  <si>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</si>
  <si>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</si>
  <si>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</si>
  <si>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</si>
  <si>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</si>
  <si>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</si>
  <si>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</si>
  <si>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</si>
  <si>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</si>
  <si>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</si>
  <si>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</si>
  <si>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</si>
  <si>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</si>
  <si>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</si>
  <si>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</si>
  <si>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</si>
  <si>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</si>
  <si>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</si>
  <si>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</si>
  <si>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</si>
  <si>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</si>
  <si>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</si>
  <si>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</si>
  <si>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</si>
  <si>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</si>
  <si>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</si>
  <si>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</si>
  <si>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</si>
  <si>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</si>
  <si>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</si>
  <si>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</si>
  <si>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</si>
  <si>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</si>
  <si>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</si>
  <si>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</si>
  <si>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</si>
  <si>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</si>
  <si>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</si>
  <si>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</si>
  <si>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</si>
  <si>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</si>
  <si>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</si>
  <si>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</si>
  <si>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</si>
  <si>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</si>
  <si>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</si>
  <si>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</si>
  <si>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</si>
  <si>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</si>
  <si>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</si>
  <si>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</si>
  <si>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</si>
  <si>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</si>
  <si>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</si>
  <si>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</si>
  <si>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</si>
  <si>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</si>
  <si>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</si>
  <si>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</si>
  <si>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</si>
  <si>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</si>
  <si>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</si>
  <si>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</si>
  <si>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</si>
  <si>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</si>
  <si>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</si>
  <si>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</si>
  <si>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</si>
  <si>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</si>
  <si>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</si>
  <si>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</si>
  <si>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</si>
  <si>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</si>
  <si>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</si>
  <si>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</si>
  <si>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</si>
  <si>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</si>
  <si>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</si>
  <si>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</si>
  <si>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</si>
  <si>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</si>
  <si>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</si>
  <si>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</si>
  <si>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</si>
  <si>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</si>
  <si>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</si>
  <si>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</si>
  <si>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</si>
  <si>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</si>
  <si>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</si>
  <si>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</si>
  <si>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</si>
  <si>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</si>
  <si>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</si>
  <si>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</si>
  <si>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</si>
  <si>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</si>
  <si>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</si>
  <si>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</si>
  <si>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</si>
  <si>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</si>
  <si>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</si>
  <si>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</si>
  <si>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</si>
  <si>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</si>
  <si>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</si>
  <si>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</si>
  <si>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</si>
  <si>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</si>
  <si>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</si>
  <si>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</si>
  <si>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</si>
  <si>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</si>
  <si>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</si>
  <si>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</si>
  <si>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</si>
  <si>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</si>
  <si>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</si>
  <si>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</si>
  <si>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</si>
  <si>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</si>
  <si>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</si>
  <si>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</si>
  <si>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</si>
  <si>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</si>
  <si>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</si>
  <si>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</si>
  <si>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</si>
  <si>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</si>
  <si>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</si>
  <si>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</si>
  <si>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</si>
  <si>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</si>
  <si>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</si>
  <si>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</si>
  <si>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</si>
  <si>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</si>
  <si>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</si>
  <si>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</si>
  <si>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</si>
  <si>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</si>
  <si>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</si>
  <si>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</si>
  <si>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</si>
  <si>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</si>
  <si>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</si>
  <si>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</si>
  <si>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</si>
  <si>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</si>
  <si>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</si>
  <si>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</si>
  <si>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</si>
  <si>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</si>
  <si>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</si>
  <si>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</si>
  <si>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</si>
  <si>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</si>
  <si>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</si>
  <si>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</si>
  <si>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</si>
  <si>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</si>
  <si>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</si>
  <si>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</si>
  <si>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</si>
  <si>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</si>
  <si>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</si>
  <si>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</si>
  <si>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</si>
  <si>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</si>
  <si>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</si>
  <si>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</si>
  <si>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</si>
  <si>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</si>
  <si>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</si>
  <si>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</si>
  <si>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</si>
  <si>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</si>
  <si>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</si>
  <si>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</si>
  <si>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</si>
  <si>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</si>
  <si>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</si>
  <si>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</si>
  <si>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</si>
  <si>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</si>
  <si>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</si>
  <si>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</si>
  <si>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</si>
  <si>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</si>
  <si>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</si>
  <si>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</si>
  <si>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</si>
  <si>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</si>
  <si>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</si>
  <si>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</si>
  <si>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</si>
  <si>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</si>
  <si>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</si>
  <si>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</si>
  <si>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</si>
  <si>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</si>
  <si>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</si>
  <si>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</si>
  <si>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</si>
  <si>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</si>
  <si>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</si>
  <si>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</si>
  <si>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</si>
  <si>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</si>
  <si>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</si>
  <si>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</si>
  <si>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</si>
  <si>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</si>
  <si>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</si>
  <si>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</si>
  <si>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</si>
  <si>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</si>
  <si>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</si>
  <si>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</si>
  <si>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</si>
  <si>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</si>
  <si>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</si>
  <si>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</si>
  <si>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</si>
  <si>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</si>
  <si>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</si>
  <si>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</si>
  <si>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</si>
  <si>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</si>
  <si>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</si>
  <si>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</si>
  <si>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</si>
  <si>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</si>
  <si>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</si>
  <si>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</si>
  <si>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</si>
  <si>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</si>
  <si>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</si>
  <si>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</si>
  <si>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</si>
  <si>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</si>
  <si>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</si>
  <si>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</si>
  <si>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</si>
  <si>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</si>
  <si>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</si>
  <si>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</si>
  <si>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</si>
  <si>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</si>
  <si>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</si>
  <si>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</si>
  <si>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</si>
  <si>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</si>
  <si>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</si>
  <si>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</si>
  <si>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</si>
  <si>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</si>
  <si>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</si>
  <si>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</si>
  <si>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</si>
  <si>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</si>
  <si>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</si>
  <si>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</si>
  <si>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</si>
  <si>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</si>
  <si>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</si>
  <si>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</si>
  <si>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</si>
  <si>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</si>
  <si>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</si>
  <si>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</si>
  <si>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</si>
  <si>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</si>
  <si>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</si>
  <si>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</si>
  <si>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</si>
  <si>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</si>
  <si>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</si>
  <si>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</si>
  <si>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</si>
  <si>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</si>
  <si>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</si>
  <si>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</si>
  <si>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</si>
  <si>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</si>
  <si>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</si>
  <si>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</si>
  <si>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</si>
  <si>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</si>
  <si>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</si>
  <si>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</si>
  <si>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</si>
  <si>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</si>
  <si>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</si>
  <si>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</si>
  <si>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</si>
  <si>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</si>
  <si>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</si>
  <si>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</si>
  <si>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</si>
  <si>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</si>
  <si>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</si>
  <si>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</si>
  <si>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</si>
  <si>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</si>
  <si>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</si>
  <si>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</si>
  <si>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</si>
  <si>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</si>
  <si>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</si>
  <si>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</si>
  <si>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</si>
  <si>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</si>
  <si>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</si>
  <si>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</si>
  <si>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</si>
  <si>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</si>
  <si>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</si>
  <si>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</si>
  <si>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</si>
  <si>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</si>
  <si>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</si>
  <si>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</si>
  <si>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</si>
  <si>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</si>
  <si>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</si>
  <si>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</si>
  <si>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</si>
  <si>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</si>
  <si>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</si>
  <si>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</si>
  <si>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</si>
  <si>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</si>
  <si>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</si>
  <si>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</si>
  <si>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</si>
  <si>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</si>
  <si>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</si>
  <si>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</si>
  <si>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</si>
  <si>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</si>
  <si>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</si>
  <si>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</si>
  <si>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</si>
  <si>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</si>
  <si>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</si>
  <si>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</si>
  <si>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</si>
  <si>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</si>
  <si>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</si>
  <si>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</si>
  <si>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</si>
  <si>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</si>
  <si>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</si>
  <si>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</si>
  <si>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</si>
  <si>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</si>
  <si>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</si>
  <si>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</si>
  <si>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</si>
  <si>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</si>
  <si>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</si>
  <si>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</si>
  <si>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</si>
  <si>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</si>
  <si>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</si>
  <si>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</si>
  <si>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</si>
  <si>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</si>
  <si>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</si>
  <si>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</si>
  <si>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</si>
  <si>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</si>
  <si>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</si>
  <si>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</si>
  <si>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</si>
  <si>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</si>
  <si>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</si>
  <si>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</si>
  <si>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</si>
  <si>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</si>
  <si>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</si>
  <si>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</si>
  <si>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</si>
  <si>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</si>
  <si>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</si>
  <si>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</si>
  <si>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</si>
  <si>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</si>
  <si>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</si>
  <si>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</si>
  <si>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</si>
  <si>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</si>
  <si>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</si>
  <si>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</si>
  <si>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</si>
  <si>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</si>
  <si>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</si>
  <si>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</si>
  <si>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</si>
  <si>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</si>
  <si>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</si>
  <si>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</si>
  <si>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</si>
  <si>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</si>
  <si>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</si>
  <si>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</si>
  <si>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</si>
  <si>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</si>
  <si>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</si>
  <si>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</si>
  <si>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</si>
  <si>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</si>
  <si>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</si>
  <si>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</si>
  <si>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</si>
  <si>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</si>
  <si>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</si>
  <si>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</si>
  <si>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</si>
  <si>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</si>
  <si>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</si>
  <si>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</si>
  <si>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</si>
  <si>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</si>
  <si>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</si>
  <si>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</si>
  <si>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</si>
  <si>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</si>
  <si>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</si>
  <si>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</si>
  <si>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</si>
  <si>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</si>
  <si>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</si>
  <si>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</si>
  <si>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</si>
  <si>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</si>
  <si>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</si>
  <si>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</si>
  <si>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</si>
  <si>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</si>
  <si>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</si>
  <si>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</si>
  <si>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</si>
  <si>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</si>
  <si>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</si>
  <si>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</si>
  <si>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</si>
  <si>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</si>
  <si>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</si>
  <si>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</si>
  <si>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</si>
  <si>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</si>
  <si>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</si>
  <si>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</si>
  <si>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</si>
  <si>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</si>
  <si>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</si>
  <si>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</si>
  <si>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</si>
  <si>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</si>
  <si>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</si>
  <si>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</si>
  <si>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</si>
  <si>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</si>
  <si>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</si>
  <si>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</si>
  <si>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</si>
  <si>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</si>
  <si>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</si>
  <si>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</si>
  <si>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</si>
  <si>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</si>
  <si>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</si>
  <si>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</si>
  <si>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</si>
  <si>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</si>
  <si>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</si>
  <si>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</si>
  <si>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</si>
  <si>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</si>
  <si>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</si>
  <si>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</si>
  <si>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</si>
  <si>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</si>
  <si>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</si>
  <si>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</si>
  <si>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</si>
  <si>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</si>
  <si>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</si>
  <si>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</si>
  <si>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</si>
  <si>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</si>
  <si>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</si>
  <si>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</si>
  <si>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</si>
  <si>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</si>
  <si>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</si>
  <si>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</si>
  <si>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</si>
  <si>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</si>
  <si>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</si>
  <si>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</si>
  <si>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</si>
  <si>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</si>
  <si>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</si>
  <si>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</si>
  <si>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</si>
  <si>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</si>
  <si>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</si>
  <si>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</si>
  <si>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</si>
  <si>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</si>
  <si>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</si>
  <si>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</si>
  <si>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</si>
  <si>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</si>
  <si>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</si>
  <si>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</si>
  <si>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</si>
  <si>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</si>
  <si>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</si>
  <si>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</si>
  <si>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</si>
  <si>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</si>
  <si>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</si>
  <si>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</si>
  <si>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</si>
  <si>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</si>
  <si>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</si>
  <si>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</si>
  <si>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</si>
  <si>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</si>
  <si>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</si>
  <si>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</si>
  <si>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</si>
  <si>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</si>
  <si>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</si>
  <si>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</si>
  <si>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</si>
  <si>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</si>
  <si>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</si>
  <si>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</si>
  <si>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</si>
  <si>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</si>
  <si>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</si>
  <si>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</si>
  <si>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</si>
  <si>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</si>
  <si>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</si>
  <si>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</si>
  <si>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</si>
  <si>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</si>
  <si>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</si>
  <si>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</si>
  <si>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</si>
  <si>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</si>
  <si>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</si>
  <si>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</si>
  <si>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</si>
  <si>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</si>
  <si>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</si>
  <si>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</si>
  <si>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</si>
  <si>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</si>
  <si>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</si>
  <si>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</si>
  <si>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</si>
  <si>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</si>
  <si>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</si>
  <si>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</si>
  <si>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</si>
  <si>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</si>
  <si>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</si>
  <si>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</si>
  <si>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</si>
  <si>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</si>
  <si>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</si>
  <si>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</si>
  <si>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</si>
  <si>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</si>
  <si>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</si>
  <si>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</si>
  <si>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</si>
  <si>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</si>
  <si>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</si>
  <si>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</si>
  <si>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</si>
  <si>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</si>
  <si>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</si>
  <si>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</si>
  <si>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</si>
  <si>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</si>
  <si>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</si>
  <si>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</si>
  <si>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</si>
  <si>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</si>
  <si>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</si>
  <si>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</si>
  <si>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</si>
  <si>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</si>
  <si>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</si>
  <si>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</si>
  <si>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</si>
  <si>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</si>
  <si>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</si>
  <si>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</si>
  <si>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</si>
  <si>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</si>
  <si>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</si>
  <si>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</si>
  <si>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</si>
  <si>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</si>
  <si>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</si>
  <si>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</si>
  <si>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</si>
  <si>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</si>
  <si>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</si>
  <si>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</si>
  <si>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</si>
  <si>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</si>
  <si>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</si>
  <si>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</si>
  <si>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</si>
  <si>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</si>
  <si>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</si>
  <si>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</si>
  <si>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</si>
  <si>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</si>
  <si>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</si>
  <si>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</si>
  <si>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</si>
  <si>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</si>
  <si>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</si>
  <si>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</si>
  <si>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</si>
  <si>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</si>
  <si>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</si>
  <si>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</si>
  <si>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</si>
  <si>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</si>
  <si>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</si>
  <si>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</si>
  <si>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</si>
  <si>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</si>
  <si>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</si>
  <si>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</si>
  <si>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</si>
  <si>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</si>
  <si>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</si>
  <si>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</si>
  <si>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</si>
  <si>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</si>
  <si>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</si>
  <si>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</si>
  <si>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</si>
  <si>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</si>
  <si>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</si>
  <si>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</si>
  <si>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</si>
  <si>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</si>
  <si>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</si>
  <si>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</si>
  <si>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</si>
  <si>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</si>
  <si>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</si>
  <si>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</si>
  <si>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</si>
  <si>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</si>
  <si>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</si>
  <si>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</si>
  <si>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</si>
  <si>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</si>
  <si>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</si>
  <si>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</si>
  <si>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</si>
  <si>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</si>
  <si>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</si>
  <si>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</si>
  <si>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</si>
  <si>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</si>
  <si>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</si>
  <si>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</si>
  <si>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</si>
  <si>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</si>
  <si>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</si>
  <si>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</si>
  <si>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</si>
  <si>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</si>
  <si>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</si>
  <si>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</si>
  <si>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</si>
  <si>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</si>
  <si>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</si>
  <si>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</si>
  <si>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</si>
  <si>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</si>
  <si>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</si>
  <si>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</si>
  <si>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</si>
  <si>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</si>
  <si>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</si>
  <si>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</si>
  <si>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</si>
  <si>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</si>
  <si>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</si>
  <si>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</si>
  <si>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</si>
  <si>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</si>
  <si>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</si>
  <si>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</si>
  <si>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</si>
  <si>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</si>
  <si>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</si>
  <si>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</si>
  <si>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</si>
  <si>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</si>
  <si>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</si>
  <si>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</si>
  <si>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</si>
  <si>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</si>
  <si>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</si>
  <si>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</si>
  <si>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</si>
  <si>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</si>
  <si>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</si>
  <si>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</si>
  <si>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</si>
  <si>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</si>
  <si>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</si>
  <si>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</si>
  <si>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</si>
  <si>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</si>
  <si>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</si>
  <si>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</si>
  <si>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</si>
  <si>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</si>
  <si>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</si>
  <si>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</si>
  <si>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</si>
  <si>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</si>
  <si>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</si>
  <si>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</si>
  <si>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</si>
  <si>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</si>
  <si>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</si>
  <si>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</si>
  <si>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</si>
  <si>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</si>
  <si>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</si>
  <si>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</si>
  <si>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</si>
  <si>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</si>
  <si>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</si>
  <si>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</si>
  <si>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</si>
  <si>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</si>
  <si>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</si>
  <si>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</si>
  <si>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</si>
  <si>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</si>
  <si>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</si>
  <si>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</si>
  <si>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</si>
  <si>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</si>
  <si>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</si>
  <si>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</si>
  <si>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</si>
  <si>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</si>
  <si>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</si>
  <si>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</si>
  <si>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</si>
  <si>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</si>
  <si>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</si>
  <si>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</si>
  <si>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</si>
  <si>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</si>
  <si>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</si>
  <si>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</si>
  <si>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</si>
  <si>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</si>
  <si>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</si>
  <si>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</si>
  <si>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</si>
  <si>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</si>
  <si>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</si>
  <si>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</si>
  <si>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</si>
  <si>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</si>
  <si>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</si>
  <si>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</si>
  <si>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</si>
  <si>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</si>
  <si>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</si>
  <si>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</si>
  <si>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</si>
  <si>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</si>
  <si>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</si>
  <si>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</si>
  <si>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</si>
  <si>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</si>
  <si>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</si>
  <si>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</si>
  <si>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</si>
  <si>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</si>
  <si>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</si>
  <si>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</si>
  <si>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</si>
  <si>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</si>
  <si>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</si>
  <si>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</si>
  <si>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</si>
  <si>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</si>
  <si>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</si>
  <si>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</si>
  <si>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</si>
  <si>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</si>
  <si>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</si>
  <si>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</si>
  <si>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</si>
  <si>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</si>
  <si>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</si>
  <si>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</si>
  <si>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</si>
  <si>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</si>
  <si>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</si>
  <si>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</si>
  <si>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</si>
  <si>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</si>
  <si>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</si>
  <si>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</si>
  <si>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</si>
  <si>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</si>
  <si>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</si>
  <si>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</si>
  <si>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</si>
  <si>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</si>
  <si>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</si>
  <si>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</si>
  <si>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</si>
  <si>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</si>
  <si>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</si>
  <si>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</si>
  <si>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</si>
  <si>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</si>
  <si>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</si>
  <si>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</si>
  <si>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</si>
  <si>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</si>
  <si>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</si>
  <si>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</si>
  <si>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</si>
  <si>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</si>
  <si>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</si>
  <si>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</si>
  <si>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</si>
  <si>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</si>
  <si>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</si>
  <si>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</si>
  <si>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</si>
  <si>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</si>
  <si>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</si>
  <si>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</si>
  <si>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</si>
  <si>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</si>
  <si>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</si>
  <si>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</si>
  <si>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</si>
  <si>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</si>
  <si>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</si>
  <si>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</si>
  <si>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</si>
  <si>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</si>
  <si>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</si>
  <si>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</si>
  <si>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</si>
  <si>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</si>
  <si>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</si>
  <si>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</si>
  <si>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</si>
  <si>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</si>
  <si>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</si>
  <si>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</si>
  <si>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</si>
  <si>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</si>
  <si>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</si>
  <si>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</si>
  <si>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</si>
  <si>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</si>
  <si>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</si>
  <si>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</si>
  <si>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</si>
  <si>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</si>
  <si>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</si>
  <si>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</si>
  <si>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</si>
  <si>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</si>
  <si>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</si>
  <si>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</si>
  <si>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</si>
  <si>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</si>
  <si>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</si>
  <si>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</si>
  <si>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</si>
  <si>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</si>
  <si>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</si>
  <si>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</si>
  <si>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</si>
  <si>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</si>
  <si>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</si>
  <si>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</si>
  <si>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</si>
  <si>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</si>
  <si>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</si>
  <si>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</si>
  <si>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</si>
  <si>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</si>
  <si>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</si>
  <si>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</si>
  <si>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</si>
  <si>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</si>
  <si>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</si>
  <si>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</si>
  <si>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</si>
  <si>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</si>
  <si>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</si>
  <si>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</si>
  <si>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</si>
  <si>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</si>
  <si>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</si>
  <si>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</si>
  <si>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</si>
  <si>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</si>
  <si>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</si>
  <si>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</si>
  <si>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</si>
  <si>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</si>
  <si>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</si>
  <si>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</si>
  <si>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</si>
  <si>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</si>
  <si>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</si>
  <si>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</si>
  <si>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</si>
  <si>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</si>
  <si>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</si>
  <si>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</si>
  <si>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</si>
  <si>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</si>
  <si>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</si>
  <si>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</si>
  <si>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</si>
  <si>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</si>
  <si>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</si>
  <si>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</si>
  <si>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</si>
  <si>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</si>
  <si>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</si>
  <si>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</si>
  <si>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</si>
  <si>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</si>
  <si>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</si>
  <si>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</si>
  <si>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</si>
  <si>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</si>
  <si>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</si>
  <si>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</si>
  <si>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</si>
  <si>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</si>
  <si>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</si>
  <si>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</si>
  <si>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</si>
  <si>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</si>
  <si>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</si>
  <si>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</si>
  <si>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</si>
  <si>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</si>
  <si>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</si>
  <si>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</si>
  <si>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</si>
  <si>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</si>
  <si>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</si>
  <si>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</si>
  <si>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</si>
  <si>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</si>
  <si>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</si>
  <si>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</si>
  <si>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</si>
  <si>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</si>
  <si>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</si>
  <si>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</si>
  <si>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</si>
  <si>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</si>
  <si>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</si>
  <si>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</si>
  <si>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</si>
  <si>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</si>
  <si>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</si>
  <si>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</si>
  <si>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</si>
  <si>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</si>
  <si>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</si>
  <si>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</si>
  <si>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</si>
  <si>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</si>
  <si>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</si>
  <si>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</si>
  <si>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</si>
  <si>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</si>
  <si>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</si>
  <si>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</si>
  <si>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</si>
  <si>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</si>
  <si>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</si>
  <si>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</si>
  <si>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</si>
  <si>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</si>
  <si>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</si>
  <si>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</si>
  <si>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</si>
  <si>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</si>
  <si>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</si>
  <si>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</si>
  <si>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</si>
  <si>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</si>
  <si>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</si>
  <si>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</si>
  <si>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</si>
  <si>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</si>
  <si>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</si>
  <si>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</si>
  <si>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</si>
  <si>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</si>
  <si>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</si>
  <si>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</si>
  <si>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</si>
  <si>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</si>
  <si>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</si>
  <si>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</si>
  <si>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</si>
  <si>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</si>
  <si>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</si>
  <si>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</si>
  <si>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</si>
  <si>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</si>
  <si>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</si>
  <si>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</si>
  <si>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</si>
  <si>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</si>
  <si>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</si>
  <si>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</si>
  <si>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</si>
  <si>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</si>
  <si>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</si>
  <si>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</si>
  <si>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</si>
  <si>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</si>
  <si>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</si>
  <si>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</si>
  <si>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</si>
  <si>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</si>
  <si>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</si>
  <si>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</si>
  <si>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</si>
  <si>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</si>
  <si>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</si>
  <si>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</si>
  <si>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</si>
  <si>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</si>
  <si>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</si>
  <si>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</si>
  <si>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</si>
  <si>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</si>
  <si>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</si>
  <si>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</si>
  <si>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</si>
  <si>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</si>
  <si>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</si>
  <si>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</si>
  <si>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</si>
  <si>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</si>
  <si>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</si>
  <si>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</si>
  <si>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</si>
  <si>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</si>
  <si>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</si>
  <si>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</si>
  <si>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</si>
  <si>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</si>
  <si>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</si>
  <si>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</si>
  <si>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</si>
  <si>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</si>
  <si>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</si>
  <si>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</si>
  <si>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</si>
  <si>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</si>
  <si>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</si>
  <si>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</si>
  <si>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</si>
  <si>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</si>
  <si>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</si>
  <si>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</si>
  <si>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</si>
  <si>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</si>
  <si>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</si>
  <si>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</si>
  <si>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</si>
  <si>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</si>
  <si>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</si>
  <si>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</si>
  <si>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</si>
  <si>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</si>
  <si>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</si>
  <si>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</si>
  <si>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</si>
  <si>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</si>
  <si>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</si>
  <si>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</si>
  <si>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</si>
  <si>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</si>
  <si>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</si>
  <si>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</si>
  <si>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</si>
  <si>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</si>
  <si>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</si>
  <si>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</si>
  <si>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</si>
  <si>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</si>
  <si>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</si>
  <si>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</si>
  <si>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</si>
  <si>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</si>
  <si>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</si>
  <si>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</si>
  <si>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</si>
  <si>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</si>
  <si>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</si>
  <si>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</si>
  <si>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</si>
  <si>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</si>
  <si>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</si>
  <si>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</si>
  <si>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</si>
  <si>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</si>
  <si>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</si>
  <si>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</si>
  <si>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</si>
  <si>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</si>
  <si>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</si>
  <si>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</si>
  <si>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</si>
  <si>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</si>
  <si>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</si>
  <si>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</si>
  <si>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</si>
  <si>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</si>
  <si>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</si>
  <si>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</si>
  <si>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</si>
  <si>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</si>
  <si>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</si>
  <si>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</si>
  <si>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</si>
  <si>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</si>
  <si>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</si>
  <si>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</si>
  <si>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</si>
  <si>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</si>
  <si>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</si>
  <si>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</si>
  <si>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</si>
  <si>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</si>
  <si>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</si>
  <si>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</si>
  <si>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</si>
  <si>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</si>
  <si>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</si>
  <si>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</si>
  <si>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</si>
  <si>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</si>
  <si>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</si>
  <si>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</si>
  <si>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</si>
  <si>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</si>
  <si>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</si>
  <si>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</si>
  <si>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</si>
  <si>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</si>
  <si>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</si>
  <si>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</si>
  <si>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</si>
  <si>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</si>
  <si>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</si>
  <si>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</si>
  <si>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</si>
  <si>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</si>
  <si>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</si>
  <si>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</si>
  <si>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</si>
  <si>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</si>
  <si>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</si>
  <si>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</si>
  <si>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</si>
  <si>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</si>
  <si>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</si>
  <si>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</si>
  <si>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</si>
  <si>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</si>
  <si>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</si>
  <si>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</si>
  <si>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</si>
  <si>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</si>
  <si>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</si>
  <si>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</si>
  <si>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</si>
  <si>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</si>
  <si>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</si>
  <si>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</si>
  <si>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</si>
  <si>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</si>
  <si>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</si>
  <si>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</si>
  <si>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</si>
  <si>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</si>
  <si>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</si>
  <si>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</si>
  <si>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</si>
  <si>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</si>
  <si>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</si>
  <si>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</si>
  <si>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</si>
  <si>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</si>
  <si>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</si>
  <si>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</si>
  <si>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</si>
  <si>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</si>
  <si>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</si>
  <si>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</si>
  <si>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</si>
  <si>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</si>
  <si>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</si>
  <si>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</si>
  <si>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</si>
  <si>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</si>
  <si>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</si>
  <si>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</si>
  <si>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</si>
  <si>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</si>
  <si>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</si>
  <si>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</si>
  <si>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</si>
  <si>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</si>
  <si>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</si>
  <si>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</si>
  <si>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</si>
  <si>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</si>
  <si>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</si>
  <si>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</si>
  <si>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</si>
  <si>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</si>
  <si>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</si>
  <si>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</si>
  <si>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</si>
  <si>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</si>
  <si>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</si>
  <si>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</si>
  <si>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</si>
  <si>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</si>
  <si>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</si>
  <si>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</si>
  <si>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</si>
  <si>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</si>
  <si>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</si>
  <si>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</si>
  <si>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</si>
  <si>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</si>
  <si>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</si>
  <si>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</si>
  <si>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</si>
  <si>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</si>
  <si>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</si>
  <si>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</si>
  <si>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</si>
  <si>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</si>
  <si>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</si>
  <si>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</si>
  <si>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</si>
  <si>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</si>
  <si>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</si>
  <si>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</si>
  <si>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</si>
  <si>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</si>
  <si>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</si>
  <si>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</si>
  <si>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</si>
  <si>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</si>
  <si>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</si>
  <si>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</si>
  <si>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</si>
  <si>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</si>
  <si>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</si>
  <si>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</si>
  <si>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</si>
  <si>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</si>
  <si>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</si>
  <si>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</si>
  <si>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</si>
  <si>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</si>
  <si>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</si>
  <si>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</si>
  <si>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</si>
  <si>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</si>
  <si>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</si>
  <si>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</si>
  <si>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</si>
  <si>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</si>
  <si>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</si>
  <si>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</si>
  <si>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</si>
  <si>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</si>
  <si>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</si>
  <si>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</si>
  <si>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</si>
  <si>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</si>
  <si>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</si>
  <si>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</si>
  <si>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</si>
  <si>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</si>
  <si>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</si>
  <si>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</si>
  <si>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</si>
  <si>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</si>
  <si>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</si>
  <si>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</si>
  <si>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</si>
  <si>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</si>
  <si>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</si>
  <si>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</si>
  <si>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</si>
  <si>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</si>
  <si>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</si>
  <si>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</si>
  <si>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</si>
  <si>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</si>
  <si>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</si>
  <si>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</si>
  <si>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</si>
  <si>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</si>
  <si>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</si>
  <si>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</si>
  <si>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</si>
  <si>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</si>
  <si>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</si>
  <si>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</si>
  <si>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</si>
  <si>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</si>
  <si>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</si>
  <si>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</si>
  <si>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</si>
  <si>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</si>
  <si>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</si>
  <si>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</si>
  <si>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</si>
  <si>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</si>
  <si>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</si>
  <si>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</si>
  <si>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</si>
  <si>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</si>
  <si>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</si>
  <si>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</si>
  <si>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</si>
  <si>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</si>
  <si>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</si>
  <si>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</si>
  <si>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</si>
  <si>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</si>
  <si>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</si>
  <si>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</si>
  <si>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</si>
  <si>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</si>
  <si>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</si>
  <si>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</si>
  <si>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</si>
  <si>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</si>
  <si>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</si>
  <si>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</si>
  <si>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</si>
  <si>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</si>
  <si>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</si>
  <si>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</si>
  <si>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</si>
  <si>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</si>
  <si>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</si>
  <si>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</si>
  <si>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</si>
  <si>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</si>
  <si>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</si>
  <si>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</si>
  <si>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</si>
  <si>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</si>
  <si>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</si>
  <si>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</si>
  <si>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</si>
  <si>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</si>
  <si>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</si>
  <si>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</si>
  <si>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</si>
  <si>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</si>
  <si>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</si>
  <si>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</si>
  <si>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</si>
  <si>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</si>
  <si>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</si>
  <si>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</si>
  <si>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</si>
  <si>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</si>
  <si>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</si>
  <si>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</si>
  <si>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</si>
  <si>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</si>
  <si>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</si>
  <si>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</si>
  <si>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</si>
  <si>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</si>
  <si>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</si>
  <si>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</si>
  <si>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</si>
  <si>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</si>
  <si>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</si>
  <si>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</si>
  <si>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</si>
  <si>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</si>
  <si>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</si>
  <si>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</si>
  <si>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</si>
  <si>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</si>
  <si>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</si>
  <si>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</si>
  <si>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</si>
  <si>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</si>
  <si>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</si>
  <si>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</si>
  <si>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</si>
  <si>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</si>
  <si>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</si>
  <si>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</si>
  <si>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</si>
  <si>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</si>
  <si>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</si>
  <si>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</si>
  <si>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</si>
  <si>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</si>
  <si>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</si>
  <si>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</si>
  <si>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</si>
  <si>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</si>
  <si>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</si>
  <si>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</si>
  <si>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</si>
  <si>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</si>
  <si>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</si>
  <si>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</si>
  <si>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</si>
  <si>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</si>
  <si>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</si>
  <si>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</si>
  <si>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</si>
  <si>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</si>
  <si>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</si>
  <si>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</si>
  <si>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</si>
  <si>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</si>
  <si>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</si>
  <si>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</si>
  <si>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</si>
  <si>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</si>
  <si>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</si>
  <si>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</si>
  <si>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</si>
  <si>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</si>
  <si>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</si>
  <si>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</si>
  <si>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</si>
  <si>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</si>
  <si>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</si>
  <si>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</si>
  <si>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</si>
  <si>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</si>
  <si>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</si>
  <si>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</si>
  <si>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</si>
  <si>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</si>
  <si>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</si>
  <si>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</si>
  <si>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</si>
  <si>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</si>
  <si>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</si>
  <si>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</si>
  <si>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</si>
  <si>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</si>
  <si>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</si>
  <si>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</si>
  <si>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</si>
  <si>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</si>
  <si>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</si>
  <si>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</si>
  <si>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</si>
  <si>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</si>
  <si>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</si>
  <si>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</si>
  <si>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</si>
  <si>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</si>
  <si>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</si>
  <si>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</si>
  <si>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</si>
  <si>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</si>
  <si>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</si>
  <si>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</si>
  <si>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</si>
  <si>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</si>
  <si>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</si>
  <si>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</si>
  <si>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</si>
  <si>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</si>
  <si>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</si>
  <si>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</si>
  <si>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</si>
  <si>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</si>
  <si>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</si>
  <si>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</si>
  <si>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</si>
  <si>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</si>
  <si>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</si>
  <si>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</si>
  <si>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</si>
  <si>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</si>
  <si>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</si>
  <si>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</si>
  <si>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</si>
  <si>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</si>
  <si>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</si>
  <si>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</si>
  <si>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</si>
  <si>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</si>
  <si>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</si>
  <si>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</si>
  <si>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</si>
  <si>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</si>
  <si>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</si>
  <si>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</si>
  <si>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</si>
  <si>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</si>
  <si>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</si>
  <si>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</si>
  <si>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</si>
  <si>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</si>
  <si>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</si>
  <si>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</si>
  <si>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</si>
  <si>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</si>
  <si>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</si>
  <si>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</si>
  <si>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</si>
  <si>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</si>
  <si>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</si>
  <si>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</si>
  <si>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</si>
  <si>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</si>
  <si>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</si>
  <si>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</si>
  <si>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</si>
  <si>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</si>
  <si>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</si>
  <si>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</si>
  <si>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</si>
  <si>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</si>
  <si>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</si>
  <si>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</si>
  <si>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</si>
  <si>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</si>
  <si>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</si>
  <si>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</si>
  <si>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</si>
  <si>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</si>
  <si>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</si>
  <si>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</si>
  <si>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</si>
  <si>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</si>
  <si>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</si>
  <si>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</si>
  <si>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</si>
  <si>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</si>
  <si>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</si>
  <si>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</si>
  <si>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</si>
  <si>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</si>
  <si>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</si>
  <si>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</si>
  <si>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</si>
  <si>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</si>
  <si>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</si>
  <si>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</si>
  <si>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</si>
  <si>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</si>
  <si>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</si>
  <si>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</si>
  <si>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</si>
  <si>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</si>
  <si>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</si>
  <si>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</si>
  <si>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</si>
  <si>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</si>
  <si>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</si>
  <si>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</si>
  <si>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</si>
  <si>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</si>
  <si>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</si>
  <si>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</si>
  <si>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</si>
  <si>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</si>
  <si>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</si>
  <si>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</si>
  <si>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</si>
  <si>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</si>
  <si>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</si>
  <si>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</si>
  <si>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</si>
  <si>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</si>
  <si>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</si>
  <si>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</si>
  <si>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</si>
  <si>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</si>
  <si>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</si>
  <si>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</si>
  <si>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</si>
  <si>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</si>
  <si>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</si>
  <si>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</si>
  <si>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</si>
  <si>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</si>
  <si>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</si>
  <si>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</si>
  <si>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</si>
  <si>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</si>
  <si>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</si>
  <si>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</si>
  <si>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</si>
  <si>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</si>
  <si>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</si>
  <si>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</si>
  <si>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</si>
  <si>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</si>
  <si>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</si>
  <si>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</si>
  <si>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</si>
  <si>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</si>
  <si>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</si>
  <si>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</si>
  <si>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</si>
  <si>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</si>
  <si>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</si>
  <si>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</si>
  <si>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</si>
  <si>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</si>
  <si>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</si>
  <si>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</si>
  <si>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</si>
  <si>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</si>
  <si>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</si>
  <si>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</si>
  <si>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</si>
  <si>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</si>
  <si>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</si>
  <si>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</si>
  <si>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</si>
  <si>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</si>
  <si>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</si>
  <si>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</si>
  <si>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</si>
  <si>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</si>
  <si>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</si>
  <si>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</si>
  <si>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</si>
  <si>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</si>
  <si>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</si>
  <si>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</si>
  <si>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</si>
  <si>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</si>
  <si>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</si>
  <si>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</si>
  <si>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</si>
  <si>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</si>
  <si>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</si>
  <si>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</si>
  <si>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</si>
  <si>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</si>
  <si>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</si>
  <si>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</si>
  <si>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</si>
  <si>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</si>
  <si>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</si>
  <si>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</si>
  <si>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</si>
  <si>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</si>
  <si>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</si>
  <si>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</si>
  <si>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</si>
  <si>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</si>
  <si>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</si>
  <si>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</si>
  <si>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</si>
  <si>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</si>
  <si>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</si>
  <si>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</si>
  <si>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</si>
  <si>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</si>
  <si>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</si>
  <si>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</si>
  <si>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</si>
  <si>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</si>
  <si>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</si>
  <si>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</si>
  <si>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</si>
  <si>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</si>
  <si>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</si>
  <si>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</si>
  <si>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</si>
  <si>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</si>
  <si>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</si>
  <si>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</si>
  <si>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</si>
  <si>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</si>
  <si>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</si>
  <si>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</si>
  <si>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</si>
  <si>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</si>
  <si>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</si>
  <si>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</si>
  <si>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</si>
  <si>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</si>
  <si>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</si>
  <si>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</si>
  <si>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</si>
  <si>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</si>
  <si>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</si>
  <si>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</si>
  <si>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</si>
  <si>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</si>
  <si>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</si>
  <si>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</si>
  <si>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</si>
  <si>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</si>
  <si>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</si>
  <si>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</si>
  <si>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</si>
  <si>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</si>
  <si>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</si>
  <si>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</si>
  <si>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</si>
  <si>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</si>
  <si>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</si>
  <si>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</si>
  <si>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</si>
  <si>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</si>
  <si>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</si>
  <si>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</si>
  <si>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</si>
  <si>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</si>
  <si>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</si>
  <si>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</si>
  <si>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</si>
  <si>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</si>
  <si>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</si>
  <si>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</si>
  <si>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</si>
  <si>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</si>
  <si>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</si>
  <si>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</si>
  <si>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</si>
  <si>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</si>
  <si>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</si>
  <si>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</si>
  <si>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</si>
  <si>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</si>
  <si>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</si>
  <si>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</si>
  <si>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</si>
  <si>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</si>
  <si>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</si>
  <si>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</si>
  <si>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</si>
  <si>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</si>
  <si>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</si>
  <si>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</si>
  <si>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</si>
  <si>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</si>
  <si>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</si>
  <si>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</si>
  <si>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</si>
  <si>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</si>
  <si>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</si>
  <si>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</si>
  <si>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</si>
  <si>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</si>
  <si>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</si>
  <si>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</si>
  <si>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</si>
  <si>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</si>
  <si>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</si>
  <si>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</si>
  <si>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</si>
  <si>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</si>
  <si>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</si>
  <si>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</si>
  <si>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</si>
  <si>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</si>
  <si>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</si>
  <si>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</si>
  <si>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</si>
  <si>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</si>
  <si>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</si>
  <si>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</si>
  <si>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</si>
  <si>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</si>
  <si>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</si>
  <si>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</si>
  <si>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</si>
  <si>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</si>
  <si>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</si>
  <si>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</si>
  <si>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</si>
  <si>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</si>
  <si>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</si>
  <si>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</si>
  <si>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</si>
  <si>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</si>
  <si>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</si>
  <si>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</si>
  <si>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</si>
  <si>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</si>
  <si>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</si>
  <si>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</si>
  <si>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</si>
  <si>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</si>
  <si>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</si>
  <si>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</si>
  <si>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</si>
  <si>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</si>
  <si>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</si>
  <si>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</si>
  <si>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</si>
  <si>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</si>
  <si>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</si>
  <si>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</si>
  <si>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</si>
  <si>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</si>
  <si>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</si>
  <si>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</si>
  <si>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</si>
  <si>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</si>
  <si>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</si>
  <si>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</si>
  <si>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</si>
  <si>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</si>
  <si>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</si>
  <si>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</si>
  <si>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</si>
  <si>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</si>
  <si>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</si>
  <si>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</si>
  <si>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</si>
  <si>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</si>
  <si>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</si>
  <si>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</si>
  <si>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</si>
  <si>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</si>
  <si>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</si>
  <si>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</si>
  <si>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</si>
  <si>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</si>
  <si>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</si>
  <si>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</si>
  <si>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</si>
  <si>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</si>
  <si>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</si>
  <si>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</si>
  <si>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</si>
  <si>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</si>
  <si>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</si>
  <si>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</si>
  <si>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</si>
  <si>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</si>
  <si>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</si>
  <si>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</si>
  <si>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</si>
  <si>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</si>
  <si>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</si>
  <si>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</si>
  <si>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</si>
  <si>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</si>
  <si>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</si>
  <si>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</si>
  <si>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</si>
  <si>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</si>
  <si>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</si>
  <si>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</si>
  <si>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</si>
  <si>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</si>
  <si>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</si>
  <si>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</si>
  <si>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</si>
  <si>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</si>
  <si>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</si>
  <si>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</si>
  <si>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</si>
  <si>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</si>
  <si>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</si>
  <si>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</si>
  <si>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</si>
  <si>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</si>
  <si>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</si>
  <si>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</si>
  <si>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</si>
  <si>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</si>
  <si>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</si>
  <si>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</si>
  <si>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</si>
  <si>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</si>
  <si>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</si>
  <si>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</si>
  <si>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</si>
  <si>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</si>
  <si>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</si>
  <si>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</si>
  <si>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</si>
  <si>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</si>
  <si>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</si>
  <si>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</si>
  <si>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</si>
  <si>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</si>
  <si>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</si>
  <si>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</si>
  <si>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</si>
  <si>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</si>
  <si>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</si>
  <si>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</si>
  <si>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</si>
  <si>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</si>
  <si>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</si>
  <si>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</si>
  <si>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</si>
  <si>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</si>
  <si>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</si>
  <si>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</si>
  <si>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</si>
  <si>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</si>
  <si>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</si>
  <si>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</si>
  <si>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</si>
  <si>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</si>
  <si>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</si>
  <si>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</si>
  <si>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</si>
  <si>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</si>
  <si>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</si>
  <si>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</si>
  <si>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</si>
  <si>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</si>
  <si>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</si>
  <si>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</si>
  <si>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</si>
  <si>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</si>
  <si>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</si>
  <si>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</si>
  <si>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</si>
  <si>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</si>
  <si>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</si>
  <si>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</si>
  <si>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</si>
  <si>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</si>
  <si>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</si>
  <si>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</si>
  <si>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</si>
  <si>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</si>
  <si>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</si>
  <si>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</si>
  <si>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</si>
  <si>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</si>
  <si>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</si>
  <si>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</si>
  <si>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</si>
  <si>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</si>
  <si>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</si>
  <si>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</si>
  <si>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</si>
  <si>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</si>
  <si>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</si>
  <si>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</si>
  <si>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</si>
  <si>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</si>
  <si>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</si>
  <si>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</si>
  <si>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</si>
  <si>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</si>
  <si>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</si>
  <si>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</si>
  <si>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</si>
  <si>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</si>
  <si>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</si>
  <si>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</si>
  <si>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</si>
  <si>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</si>
  <si>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</si>
  <si>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</si>
  <si>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</si>
  <si>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</si>
  <si>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</si>
  <si>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</si>
  <si>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</si>
  <si>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</si>
  <si>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</si>
  <si>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</si>
  <si>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</si>
  <si>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</si>
  <si>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</si>
  <si>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</si>
  <si>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</si>
  <si>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</si>
  <si>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</si>
  <si>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</si>
  <si>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</si>
  <si>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</si>
  <si>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</si>
  <si>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</si>
  <si>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</si>
  <si>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</si>
  <si>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</si>
  <si>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</si>
  <si>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</si>
  <si>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</si>
  <si>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</si>
  <si>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</si>
  <si>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</si>
  <si>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</si>
  <si>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</si>
  <si>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</si>
  <si>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</si>
  <si>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</si>
  <si>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</si>
  <si>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</si>
  <si>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</si>
  <si>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</si>
  <si>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</si>
  <si>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</si>
  <si>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</si>
  <si>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</si>
  <si>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</si>
  <si>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</si>
  <si>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</si>
  <si>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</si>
  <si>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</si>
  <si>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</si>
  <si>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</si>
  <si>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</si>
  <si>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</si>
  <si>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</si>
  <si>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</si>
  <si>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</si>
  <si>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</si>
  <si>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</si>
  <si>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</si>
  <si>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</si>
  <si>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</si>
  <si>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</si>
  <si>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</si>
  <si>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</si>
  <si>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</si>
  <si>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</si>
  <si>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</si>
  <si>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</si>
  <si>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</si>
  <si>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</si>
  <si>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</si>
  <si>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</si>
  <si>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</si>
  <si>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</si>
  <si>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</si>
  <si>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</si>
  <si>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</si>
  <si>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</si>
  <si>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</si>
  <si>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</si>
  <si>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</si>
  <si>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</si>
  <si>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</si>
  <si>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</si>
  <si>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</si>
  <si>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</si>
  <si>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</si>
  <si>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</si>
  <si>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</si>
  <si>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</si>
  <si>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</si>
  <si>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</si>
  <si>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</si>
  <si>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</si>
  <si>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</si>
  <si>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</si>
  <si>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</si>
  <si>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</si>
  <si>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</si>
  <si>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</si>
  <si>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</si>
  <si>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</si>
  <si>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</si>
  <si>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</si>
  <si>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</si>
  <si>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</si>
  <si>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</si>
  <si>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</si>
  <si>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</si>
  <si>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</si>
  <si>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</si>
  <si>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</si>
  <si>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</si>
  <si>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</si>
  <si>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</si>
  <si>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</si>
  <si>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</si>
  <si>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</si>
  <si>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</si>
  <si>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</si>
  <si>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</si>
  <si>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</si>
  <si>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</si>
  <si>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</si>
  <si>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</si>
  <si>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</si>
  <si>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</si>
  <si>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</si>
  <si>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</si>
  <si>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</si>
  <si>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</si>
  <si>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</si>
  <si>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</si>
  <si>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</si>
  <si>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</si>
  <si>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</si>
  <si>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</si>
  <si>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</si>
  <si>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</si>
  <si>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</si>
  <si>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</si>
  <si>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</si>
  <si>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</si>
  <si>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</si>
  <si>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</si>
  <si>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</si>
  <si>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</si>
  <si>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</si>
  <si>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</si>
  <si>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</si>
  <si>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</si>
  <si>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</si>
  <si>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</si>
  <si>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</si>
  <si>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</si>
  <si>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</si>
  <si>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</si>
  <si>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</si>
  <si>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NO_COUPON</t>
  </si>
  <si>
    <t>Status</t>
  </si>
  <si>
    <t>PHASE 1 - DESCRIPTIVE STATISTICS</t>
  </si>
  <si>
    <t>Statistic</t>
  </si>
  <si>
    <t>Count</t>
  </si>
  <si>
    <t>Mean</t>
  </si>
  <si>
    <t>Median</t>
  </si>
  <si>
    <t>Min</t>
  </si>
  <si>
    <t>Max</t>
  </si>
  <si>
    <t>Std Dev</t>
  </si>
  <si>
    <t>Q1 (25th pct)</t>
  </si>
  <si>
    <t>Q3 (75th pct)</t>
  </si>
  <si>
    <t>Mean vs Median gap (TotalPrice)</t>
  </si>
  <si>
    <t>Revenue by Product</t>
  </si>
  <si>
    <t>Category</t>
  </si>
  <si>
    <t>Orders</t>
  </si>
  <si>
    <t>Revenue</t>
  </si>
  <si>
    <t>Avg Order Value</t>
  </si>
  <si>
    <t>% of Revenue</t>
  </si>
  <si>
    <t>Performance by Referral Source</t>
  </si>
  <si>
    <t>Cancellation Rate</t>
  </si>
  <si>
    <t>Spending by Coupon Code</t>
  </si>
  <si>
    <t>Orders by Payment Method</t>
  </si>
  <si>
    <t>Order Status Mix</t>
  </si>
  <si>
    <t>% of Orders</t>
  </si>
  <si>
    <t>Gross Value</t>
  </si>
  <si>
    <t>Realized Revenue (Delivered + Shipped)</t>
  </si>
  <si>
    <t>Revenue at Risk (Cancelled + Returned)</t>
  </si>
  <si>
    <t>Correlation: ItemsInCart vs Quantity</t>
  </si>
  <si>
    <t>Month</t>
  </si>
  <si>
    <t>Q1</t>
  </si>
  <si>
    <t>Q3</t>
  </si>
  <si>
    <t>IQR</t>
  </si>
  <si>
    <t>Lower bound (Q1-1.5*IQR)</t>
  </si>
  <si>
    <t>Upper bound (Q3+1.5*IQR)</t>
  </si>
  <si>
    <t>Orders below lower bound</t>
  </si>
  <si>
    <t>Orders above upper bound</t>
  </si>
  <si>
    <t>Top 10 largest orders (inspect these individually):</t>
  </si>
  <si>
    <t>Rank</t>
  </si>
  <si>
    <t>PHASE 5 - KEY OBSERVATIONS (fill in after reviewing the numbers)</t>
  </si>
  <si>
    <t>#</t>
  </si>
  <si>
    <t>Theme</t>
  </si>
  <si>
    <t>Question to answer</t>
  </si>
  <si>
    <t>Your observation (1-2 sentences)</t>
  </si>
  <si>
    <t>Business implication</t>
  </si>
  <si>
    <t>1</t>
  </si>
  <si>
    <t>Revenue scale &amp; average order</t>
  </si>
  <si>
    <t>What is total revenue, and what does a typical (median) order look like vs the mean?</t>
  </si>
  <si>
    <t>2</t>
  </si>
  <si>
    <t>Best &amp; worst products</t>
  </si>
  <si>
    <t>Which product drives the most revenue? Which the least? Is revenue concentrated?</t>
  </si>
  <si>
    <t>3</t>
  </si>
  <si>
    <t>Trend over time</t>
  </si>
  <si>
    <t>Is monthly revenue growing, declining, or flat across 2023-2025? Any seasonal spikes?</t>
  </si>
  <si>
    <t>4</t>
  </si>
  <si>
    <t>Order fulfilment risk</t>
  </si>
  <si>
    <t>What % of orders are Cancelled or Returned, and how much revenue does that put at risk?</t>
  </si>
  <si>
    <t>5</t>
  </si>
  <si>
    <t>Referral source quality</t>
  </si>
  <si>
    <t>Which channel brings the most valuable orders? Which has the highest cancellation rate?</t>
  </si>
  <si>
    <t>6</t>
  </si>
  <si>
    <t>Coupon behaviour</t>
  </si>
  <si>
    <t>Do coupon users spend more or less per order than NO_COUPON customers?</t>
  </si>
  <si>
    <t>7</t>
  </si>
  <si>
    <t>Outliers</t>
  </si>
  <si>
    <t>Any orders outside the IQR bounds? If none, state that the data has no extreme anomalies.</t>
  </si>
  <si>
    <t>8</t>
  </si>
  <si>
    <t>Correlation</t>
  </si>
  <si>
    <t>Does ItemsInCart relate to Quantity purchased (CORREL result)? What does that imply?</t>
  </si>
  <si>
    <t>PHASE 2 - CATEGORY BREAKDOWNS</t>
  </si>
  <si>
    <t>PHASE 3 - TRENDS OVER TIME</t>
  </si>
  <si>
    <t>PHASE 4 - OUTLIER ANALYSIS (IQR METHOD, TotalPrice)</t>
  </si>
  <si>
    <t>Total gross order value is approximately £1.26M across 1,200 orders. The mean order value (1,053.97) is 28% higher than the median (823.62), indicating a right-skewed distribution where a minority of large orders inflate the average.</t>
  </si>
  <si>
    <t>The median is the more reliable figure for forecasting typical customer behaviour; using the mean would overstate expected revenue per order.</t>
  </si>
  <si>
    <t>41.4% of all orders are Cancelled (250) or Returned (247), representing £519,674 in gross value — more than the £488,760 actually realized through Delivered and Shipped orders.</t>
  </si>
  <si>
    <t>The business loses more order value than it captures; reducing cancellations is a bigger revenue lever than acquiring new orders.</t>
  </si>
  <si>
    <t>no single product dependency, but also no star product.</t>
  </si>
  <si>
    <t>Monthly revenue fluctuates around ~£42K/month with no sustained growth or decline across Jan 2023–Jun 2025</t>
  </si>
  <si>
    <t>business is stagnant; growth must come from fixing cancellations or channel investment.</t>
  </si>
  <si>
    <t>nstagram = most orders (259) AND lowest cancellation rate (15.8%); Google = highest cancellation rate (24.1%); Email close behind (23.6%).</t>
  </si>
  <si>
    <t>shift spend toward Instagram-like channels; investigate why Google/Email orders fall through.</t>
  </si>
  <si>
    <t>coupons aren't increasing basket size, so they're margin giveaways unless they drive acquisition/retention.</t>
  </si>
  <si>
    <t>8 orders exceed the IQR upper bound (3,330.41), max 3,456.40; 0 below. All are legitimate max-quantity × high-price combinations, not data errors.</t>
  </si>
  <si>
    <t>no anomalies to remove; the 8 represent a small high-value segment worth studying.</t>
  </si>
  <si>
    <t>larger carts convert into larger purchases, so cart-building features (bundles, "frequently bought together") likely lift order size.</t>
  </si>
  <si>
    <r>
      <t>Chair is top (£195,620), Printer nearly tied (£195,613); Phone is lowest (£151,722). All 7 products sit between 12–15.5% of revenue → revenue is </t>
    </r>
    <r>
      <rPr>
        <i/>
        <sz val="11"/>
        <color theme="1"/>
        <rFont val="Times New Roman"/>
        <family val="1"/>
      </rPr>
      <t>evenly spread</t>
    </r>
    <r>
      <rPr>
        <sz val="11"/>
        <color theme="1"/>
        <rFont val="Times New Roman"/>
        <family val="1"/>
      </rPr>
      <t>, not concentrated.</t>
    </r>
  </si>
  <si>
    <t>CORREL = 0.65 between ItemsInCart and Quantity, a moderate positive relationship</t>
  </si>
  <si>
    <t>Avg order value is nearly identical across all groups; SAVE10 (1,065.87), WINTER15 (1,035.90), FREESHIP (1,070.41), NO_COUPON (1,043.37).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</si>
</sst>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00"/>
    <numFmt numFmtId="167" formatCode="mmm\ yyyy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i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4"/>
      <color rgb="FFFFFFFF"/>
      <name val="Times New Roman"/>
      <family val="1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right" vertical="top" indent="1"/>
    </xf>
    <xf numFmtId="0" fontId="0" fillId="0" borderId="0" xfId="0" applyAlignment="1">
      <alignment horizontal="right" indent="1"/>
    </xf>
    <xf numFmtId="2" fontId="0" fillId="0" borderId="0" xfId="0" applyNumberFormat="1" applyAlignment="1">
      <alignment horizontal="right" indent="1"/>
    </xf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3" fillId="0" borderId="3" xfId="0" applyFont="1" applyBorder="1"/>
    <xf numFmtId="4" fontId="3" fillId="0" borderId="3" xfId="0" applyNumberFormat="1" applyFont="1" applyBorder="1"/>
    <xf numFmtId="0" fontId="6" fillId="0" borderId="0" xfId="0" applyFont="1"/>
    <xf numFmtId="0" fontId="7" fillId="0" borderId="0" xfId="0" applyFont="1"/>
    <xf numFmtId="165" fontId="3" fillId="0" borderId="3" xfId="0" applyNumberFormat="1" applyFont="1" applyBorder="1"/>
    <xf numFmtId="4" fontId="3" fillId="0" borderId="0" xfId="0" applyNumberFormat="1" applyFont="1"/>
    <xf numFmtId="166" fontId="3" fillId="0" borderId="0" xfId="0" applyNumberFormat="1" applyFont="1"/>
    <xf numFmtId="167" fontId="3" fillId="0" borderId="3" xfId="0" applyNumberFormat="1" applyFont="1" applyBorder="1"/>
    <xf numFmtId="4" fontId="0" fillId="0" borderId="3" xfId="0" applyNumberFormat="1" applyBorder="1"/>
    <xf numFmtId="0" fontId="4" fillId="0" borderId="0" xfId="0" applyFont="1" applyAlignment="1">
      <alignment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2" borderId="1" xfId="0" applyFont="1" applyFill="1" applyBorder="1"/>
    <xf numFmtId="0" fontId="14" fillId="0" borderId="0" xfId="0" applyFont="1"/>
    <xf numFmtId="0" fontId="5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8">
    <dxf>
      <numFmt numFmtId="2" formatCode="0.00"/>
    </dxf>
    <dxf>
      <alignment horizontal="right" vertical="bottom" textRotation="0" wrapText="0" indent="1" justifyLastLine="0" shrinkToFit="0" readingOrder="0"/>
    </dxf>
    <dxf>
      <numFmt numFmtId="2" formatCode="0.00"/>
      <alignment horizontal="right" textRotation="0" wrapText="0" relativeIndent="-1" justifyLastLine="0" shrinkToFit="0" readingOrder="0"/>
    </dxf>
    <dxf>
      <numFmt numFmtId="164" formatCode="yyyy\-mm\-dd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'By Category'!$B$4</c:f>
              <c:strCache>
                <c:ptCount val="1"/>
                <c:pt idx="0">
                  <c:v>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'By Category'!$A$5:$A$11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Desk</c:v>
                </c:pt>
                <c:pt idx="6">
                  <c:v>Chair</c:v>
                </c:pt>
              </c:strCache>
            </c:strRef>
          </c:cat>
          <c:val>
            <c:numRef>
              <c:f>'By Category'!$B$5:$B$11</c:f>
              <c:numCache>
                <c:formatCode>General</c:formatCode>
                <c:ptCount val="7"/>
                <c:pt idx="0">
                  <c:v>173</c:v>
                </c:pt>
                <c:pt idx="1">
                  <c:v>156</c:v>
                </c:pt>
                <c:pt idx="2">
                  <c:v>179</c:v>
                </c:pt>
                <c:pt idx="3">
                  <c:v>163</c:v>
                </c:pt>
                <c:pt idx="4">
                  <c:v>181</c:v>
                </c:pt>
                <c:pt idx="5">
                  <c:v>170</c:v>
                </c:pt>
                <c:pt idx="6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F3-EC46-8A68-EB8DEF9CE678}"/>
            </c:ext>
          </c:extLst>
        </c:ser>
        <c:ser>
          <c:idx val="1"/>
          <c:order val="1"/>
          <c:tx>
            <c:strRef>
              <c:f>'By Category'!$C$4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'By Category'!$A$5:$A$11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Desk</c:v>
                </c:pt>
                <c:pt idx="6">
                  <c:v>Chair</c:v>
                </c:pt>
              </c:strCache>
            </c:strRef>
          </c:cat>
          <c:val>
            <c:numRef>
              <c:f>'By Category'!$C$5:$C$11</c:f>
              <c:numCache>
                <c:formatCode>#,##0.00</c:formatCode>
                <c:ptCount val="7"/>
                <c:pt idx="0">
                  <c:v>192126.55999999994</c:v>
                </c:pt>
                <c:pt idx="1">
                  <c:v>151722.39000000001</c:v>
                </c:pt>
                <c:pt idx="2">
                  <c:v>186568.95000000007</c:v>
                </c:pt>
                <c:pt idx="3">
                  <c:v>175651.40999999997</c:v>
                </c:pt>
                <c:pt idx="4">
                  <c:v>195612.60999999996</c:v>
                </c:pt>
                <c:pt idx="5">
                  <c:v>167459.93</c:v>
                </c:pt>
                <c:pt idx="6">
                  <c:v>195620.11000000002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F3-EC46-8A68-EB8DEF9CE678}"/>
            </c:ext>
          </c:extLst>
        </c:ser>
        <c:ser>
          <c:idx val="2"/>
          <c:order val="2"/>
          <c:tx>
            <c:strRef>
              <c:f>'By Category'!$D$4</c:f>
              <c:strCache>
                <c:ptCount val="1"/>
                <c:pt idx="0">
                  <c:v>Avg Order Value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'By Category'!$A$5:$A$11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Desk</c:v>
                </c:pt>
                <c:pt idx="6">
                  <c:v>Chair</c:v>
                </c:pt>
              </c:strCache>
            </c:strRef>
          </c:cat>
          <c:val>
            <c:numRef>
              <c:f>'By Category'!$D$5:$D$11</c:f>
              <c:numCache>
                <c:formatCode>#,##0.00</c:formatCode>
                <c:ptCount val="7"/>
                <c:pt idx="0">
                  <c:v>1110.558150289017</c:v>
                </c:pt>
                <c:pt idx="1">
                  <c:v>972.57942307692315</c:v>
                </c:pt>
                <c:pt idx="2">
                  <c:v>1042.2846368715088</c:v>
                </c:pt>
                <c:pt idx="3">
                  <c:v>1077.6160122699384</c:v>
                </c:pt>
                <c:pt idx="4">
                  <c:v>1080.7326519337014</c:v>
                </c:pt>
                <c:pt idx="5">
                  <c:v>985.05841176470585</c:v>
                </c:pt>
                <c:pt idx="6">
                  <c:v>1098.989382022472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F3-EC46-8A68-EB8DEF9C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1221383376"/>
        <c:axId val="1221385088"/>
      </c:barChart>
      <c:lineChart>
        <c:grouping val="standard"/>
        <c:varyColors val="0"/>
        <c:ser>
          <c:idx val="3"/>
          <c:order val="3"/>
          <c:tx>
            <c:strRef>
              <c:f>'By Category'!$E$4</c:f>
              <c:strCache>
                <c:ptCount val="1"/>
                <c:pt idx="0">
                  <c:v>% of Revenue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'By Category'!$A$5:$A$11</c:f>
              <c:strCache>
                <c:ptCount val="7"/>
                <c:pt idx="0">
                  <c:v>Laptop</c:v>
                </c:pt>
                <c:pt idx="1">
                  <c:v>Phone</c:v>
                </c:pt>
                <c:pt idx="2">
                  <c:v>Tablet</c:v>
                </c:pt>
                <c:pt idx="3">
                  <c:v>Monitor</c:v>
                </c:pt>
                <c:pt idx="4">
                  <c:v>Printer</c:v>
                </c:pt>
                <c:pt idx="5">
                  <c:v>Desk</c:v>
                </c:pt>
                <c:pt idx="6">
                  <c:v>Chair</c:v>
                </c:pt>
              </c:strCache>
            </c:strRef>
          </c:cat>
          <c:val>
            <c:numRef>
              <c:f>'By Category'!$E$5:$E$11</c:f>
              <c:numCache>
                <c:formatCode>0.0%</c:formatCode>
                <c:ptCount val="7"/>
                <c:pt idx="0">
                  <c:v>0.15190728854621771</c:v>
                </c:pt>
                <c:pt idx="1">
                  <c:v>0.11996122179386227</c:v>
                </c:pt>
                <c:pt idx="2">
                  <c:v>0.14751309408451849</c:v>
                </c:pt>
                <c:pt idx="3">
                  <c:v>0.13888100334706455</c:v>
                </c:pt>
                <c:pt idx="4">
                  <c:v>0.15466357795897015</c:v>
                </c:pt>
                <c:pt idx="5">
                  <c:v>0.13240430634077574</c:v>
                </c:pt>
                <c:pt idx="6">
                  <c:v>0.15466950792859072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3-EC46-8A68-EB8DEF9C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4373231"/>
        <c:axId val="1814174911"/>
      </c:lineChart>
      <c:catAx>
        <c:axId val="122138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85088"/>
        <c:crosses val="autoZero"/>
        <c:auto val="1"/>
        <c:lblAlgn val="ctr"/>
        <c:lblOffset val="100"/>
        <c:noMultiLvlLbl val="0"/>
      </c:catAx>
      <c:valAx>
        <c:axId val="122138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383376"/>
        <c:crosses val="autoZero"/>
        <c:crossBetween val="between"/>
      </c:valAx>
      <c:valAx>
        <c:axId val="1814174911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373231"/>
        <c:crosses val="max"/>
        <c:crossBetween val="between"/>
      </c:valAx>
      <c:catAx>
        <c:axId val="18143732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141749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 by Referral Souce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'By Category'!$B$15</c:f>
              <c:strCache>
                <c:ptCount val="1"/>
                <c:pt idx="0">
                  <c:v>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Category'!$A$16:$A$20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'By Category'!$B$16:$B$20</c:f>
              <c:numCache>
                <c:formatCode>General</c:formatCode>
                <c:ptCount val="5"/>
                <c:pt idx="0">
                  <c:v>250</c:v>
                </c:pt>
                <c:pt idx="1">
                  <c:v>228</c:v>
                </c:pt>
                <c:pt idx="2">
                  <c:v>241</c:v>
                </c:pt>
                <c:pt idx="3">
                  <c:v>259</c:v>
                </c:pt>
                <c:pt idx="4">
                  <c:v>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8-E346-AAA7-12F4612F204F}"/>
            </c:ext>
          </c:extLst>
        </c:ser>
        <c:ser>
          <c:idx val="1"/>
          <c:order val="1"/>
          <c:tx>
            <c:strRef>
              <c:f>'By Category'!$C$15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Category'!$A$16:$A$20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'By Category'!$C$16:$C$20</c:f>
              <c:numCache>
                <c:formatCode>#,##0.00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8-E346-AAA7-12F4612F204F}"/>
            </c:ext>
          </c:extLst>
        </c:ser>
        <c:ser>
          <c:idx val="2"/>
          <c:order val="2"/>
          <c:tx>
            <c:strRef>
              <c:f>'By Category'!$D$15</c:f>
              <c:strCache>
                <c:ptCount val="1"/>
                <c:pt idx="0">
                  <c:v>Avg Order Value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Category'!$A$16:$A$20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'By Category'!$D$16:$D$20</c:f>
              <c:numCache>
                <c:formatCode>#,##0.00</c:formatCode>
                <c:ptCount val="5"/>
                <c:pt idx="0">
                  <c:v>1047.2342000000001</c:v>
                </c:pt>
                <c:pt idx="1">
                  <c:v>1098.2934210526316</c:v>
                </c:pt>
                <c:pt idx="2">
                  <c:v>1039.1762655601658</c:v>
                </c:pt>
                <c:pt idx="3">
                  <c:v>1062.8781853281855</c:v>
                </c:pt>
                <c:pt idx="4">
                  <c:v>1021.6918018018014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C8-E346-AAA7-12F4612F204F}"/>
            </c:ext>
          </c:extLst>
        </c:ser>
        <c:ser>
          <c:idx val="3"/>
          <c:order val="3"/>
          <c:tx>
            <c:strRef>
              <c:f>'By Category'!$E$15</c:f>
              <c:strCache>
                <c:ptCount val="1"/>
                <c:pt idx="0">
                  <c:v>% of Revenue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Category'!$A$16:$A$20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'By Category'!$E$16:$E$20</c:f>
              <c:numCache>
                <c:formatCode>0.0%</c:formatCode>
                <c:ptCount val="5"/>
                <c:pt idx="0">
                  <c:v>0.20700223305261325</c:v>
                </c:pt>
                <c:pt idx="1">
                  <c:v>0.1979905372865578</c:v>
                </c:pt>
                <c:pt idx="2">
                  <c:v>0.19801471574935722</c:v>
                </c:pt>
                <c:pt idx="3">
                  <c:v>0.21765791406313326</c:v>
                </c:pt>
                <c:pt idx="4">
                  <c:v>0.17933459984833813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C8-E346-AAA7-12F4612F204F}"/>
            </c:ext>
          </c:extLst>
        </c:ser>
        <c:ser>
          <c:idx val="4"/>
          <c:order val="4"/>
          <c:tx>
            <c:strRef>
              <c:f>'By Category'!$F$15</c:f>
              <c:strCache>
                <c:ptCount val="1"/>
                <c:pt idx="0">
                  <c:v>Cancellation Rate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Category'!$A$16:$A$20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'By Category'!$F$16:$F$20</c:f>
              <c:numCache>
                <c:formatCode>0.0%</c:formatCode>
                <c:ptCount val="5"/>
                <c:pt idx="0">
                  <c:v>0.23599999999999999</c:v>
                </c:pt>
                <c:pt idx="1">
                  <c:v>0.18421052631578946</c:v>
                </c:pt>
                <c:pt idx="2">
                  <c:v>0.24066390041493776</c:v>
                </c:pt>
                <c:pt idx="3">
                  <c:v>0.15830115830115829</c:v>
                </c:pt>
                <c:pt idx="4">
                  <c:v>0.22522522522522523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C8-E346-AAA7-12F4612F2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9440511"/>
        <c:axId val="1949442223"/>
      </c:barChart>
      <c:catAx>
        <c:axId val="1949440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442223"/>
        <c:crosses val="autoZero"/>
        <c:auto val="1"/>
        <c:lblAlgn val="ctr"/>
        <c:lblOffset val="100"/>
        <c:noMultiLvlLbl val="0"/>
      </c:catAx>
      <c:valAx>
        <c:axId val="194944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440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Spending</a:t>
            </a:r>
            <a:r>
              <a:rPr lang="en-GB" baseline="0"/>
              <a:t> By Coupon Code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279155730533683"/>
          <c:y val="0.19432888597258677"/>
          <c:w val="0.65474431321084869"/>
          <c:h val="0.647477034120734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'By Category'!$B$24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'By Category'!$A$25:$A$28</c:f>
              <c:strCache>
                <c:ptCount val="4"/>
                <c:pt idx="0">
                  <c:v>SAVE10</c:v>
                </c:pt>
                <c:pt idx="1">
                  <c:v>WINTER15</c:v>
                </c:pt>
                <c:pt idx="2">
                  <c:v>FREESHIP</c:v>
                </c:pt>
                <c:pt idx="3">
                  <c:v>NO_COUPON</c:v>
                </c:pt>
              </c:strCache>
            </c:strRef>
          </c:cat>
          <c:val>
            <c:numRef>
              <c:f>'By Category'!$B$25:$B$28</c:f>
              <c:numCache>
                <c:formatCode>General</c:formatCode>
                <c:ptCount val="4"/>
                <c:pt idx="0">
                  <c:v>286</c:v>
                </c:pt>
                <c:pt idx="1">
                  <c:v>292</c:v>
                </c:pt>
                <c:pt idx="2">
                  <c:v>313</c:v>
                </c:pt>
                <c:pt idx="3">
                  <c:v>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0-BB41-854C-C427CE449CF2}"/>
            </c:ext>
          </c:extLst>
        </c:ser>
        <c:ser>
          <c:idx val="1"/>
          <c:order val="1"/>
          <c:tx>
            <c:strRef>
              <c:f>'By Category'!$C$24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'By Category'!$A$25:$A$28</c:f>
              <c:strCache>
                <c:ptCount val="4"/>
                <c:pt idx="0">
                  <c:v>SAVE10</c:v>
                </c:pt>
                <c:pt idx="1">
                  <c:v>WINTER15</c:v>
                </c:pt>
                <c:pt idx="2">
                  <c:v>FREESHIP</c:v>
                </c:pt>
                <c:pt idx="3">
                  <c:v>NO_COUPON</c:v>
                </c:pt>
              </c:strCache>
            </c:strRef>
          </c:cat>
          <c:val>
            <c:numRef>
              <c:f>'By Category'!$C$25:$C$28</c:f>
              <c:numCache>
                <c:formatCode>#,##0.00</c:formatCode>
                <c:ptCount val="4"/>
                <c:pt idx="0">
                  <c:v>304840.02</c:v>
                </c:pt>
                <c:pt idx="1">
                  <c:v>302483.54000000021</c:v>
                </c:pt>
                <c:pt idx="2">
                  <c:v>335036.99000000028</c:v>
                </c:pt>
                <c:pt idx="3">
                  <c:v>322401.40999999992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70-BB41-854C-C427CE449CF2}"/>
            </c:ext>
          </c:extLst>
        </c:ser>
        <c:ser>
          <c:idx val="2"/>
          <c:order val="2"/>
          <c:tx>
            <c:strRef>
              <c:f>'By Category'!$D$24</c:f>
              <c:strCache>
                <c:ptCount val="1"/>
                <c:pt idx="0">
                  <c:v>Avg Order Value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'By Category'!$A$25:$A$28</c:f>
              <c:strCache>
                <c:ptCount val="4"/>
                <c:pt idx="0">
                  <c:v>SAVE10</c:v>
                </c:pt>
                <c:pt idx="1">
                  <c:v>WINTER15</c:v>
                </c:pt>
                <c:pt idx="2">
                  <c:v>FREESHIP</c:v>
                </c:pt>
                <c:pt idx="3">
                  <c:v>NO_COUPON</c:v>
                </c:pt>
              </c:strCache>
            </c:strRef>
          </c:cat>
          <c:val>
            <c:numRef>
              <c:f>'By Category'!$D$25:$D$28</c:f>
              <c:numCache>
                <c:formatCode>#,##0.00</c:formatCode>
                <c:ptCount val="4"/>
                <c:pt idx="0">
                  <c:v>1065.8741958041958</c:v>
                </c:pt>
                <c:pt idx="1">
                  <c:v>1035.9025342465761</c:v>
                </c:pt>
                <c:pt idx="2">
                  <c:v>1070.4057188498412</c:v>
                </c:pt>
                <c:pt idx="3">
                  <c:v>1043.3702588996762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70-BB41-854C-C427CE449CF2}"/>
            </c:ext>
          </c:extLst>
        </c:ser>
        <c:ser>
          <c:idx val="3"/>
          <c:order val="3"/>
          <c:tx>
            <c:strRef>
              <c:f>'By Category'!$E$24</c:f>
              <c:strCache>
                <c:ptCount val="1"/>
                <c:pt idx="0">
                  <c:v>% of Revenue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'By Category'!$A$25:$A$28</c:f>
              <c:strCache>
                <c:ptCount val="4"/>
                <c:pt idx="0">
                  <c:v>SAVE10</c:v>
                </c:pt>
                <c:pt idx="1">
                  <c:v>WINTER15</c:v>
                </c:pt>
                <c:pt idx="2">
                  <c:v>FREESHIP</c:v>
                </c:pt>
                <c:pt idx="3">
                  <c:v>NO_COUPON</c:v>
                </c:pt>
              </c:strCache>
            </c:strRef>
          </c:cat>
          <c:val>
            <c:numRef>
              <c:f>'By Category'!$E$25:$E$28</c:f>
              <c:numCache>
                <c:formatCode>0.0%</c:formatCode>
                <c:ptCount val="4"/>
                <c:pt idx="0">
                  <c:v>0.24102560769617068</c:v>
                </c:pt>
                <c:pt idx="1">
                  <c:v>0.23916242705465313</c:v>
                </c:pt>
                <c:pt idx="2">
                  <c:v>0.264901222993772</c:v>
                </c:pt>
                <c:pt idx="3">
                  <c:v>0.25491074225540417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70-BB41-854C-C427CE449C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738608"/>
        <c:axId val="1818740320"/>
      </c:barChart>
      <c:catAx>
        <c:axId val="181873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40320"/>
        <c:crosses val="autoZero"/>
        <c:auto val="1"/>
        <c:lblAlgn val="ctr"/>
        <c:lblOffset val="100"/>
        <c:noMultiLvlLbl val="0"/>
      </c:catAx>
      <c:valAx>
        <c:axId val="18187403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3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2"/>
        <c:delete val="1"/>
      </c:legendEntry>
      <c:legendEntry>
        <c:idx val="3"/>
        <c:delete val="1"/>
      </c:legendEntry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Category'!$B$32</c:f>
              <c:strCache>
                <c:ptCount val="1"/>
                <c:pt idx="0">
                  <c:v>Orders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Category'!$A$33:$A$37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'By Category'!$B$33:$B$37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E-F44D-B8E3-D125E607856D}"/>
            </c:ext>
          </c:extLst>
        </c:ser>
        <c:ser>
          <c:idx val="1"/>
          <c:order val="1"/>
          <c:tx>
            <c:strRef>
              <c:f>'By Category'!$C$32</c:f>
              <c:strCache>
                <c:ptCount val="1"/>
                <c:pt idx="0">
                  <c:v>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Category'!$A$33:$A$37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'By Category'!$C$33:$C$37</c:f>
              <c:numCache>
                <c:formatCode>#,##0.00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3E-F44D-B8E3-D125E607856D}"/>
            </c:ext>
          </c:extLst>
        </c:ser>
        <c:ser>
          <c:idx val="2"/>
          <c:order val="2"/>
          <c:tx>
            <c:strRef>
              <c:f>'By Category'!$D$32</c:f>
              <c:strCache>
                <c:ptCount val="1"/>
                <c:pt idx="0">
                  <c:v>Avg Order Value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Category'!$A$33:$A$37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'By Category'!$D$33:$D$37</c:f>
              <c:numCache>
                <c:formatCode>#,##0.00</c:formatCode>
                <c:ptCount val="5"/>
                <c:pt idx="0">
                  <c:v>1056.0418292682923</c:v>
                </c:pt>
                <c:pt idx="1">
                  <c:v>1127.5539743589738</c:v>
                </c:pt>
                <c:pt idx="2">
                  <c:v>1001.5568103448275</c:v>
                </c:pt>
                <c:pt idx="3">
                  <c:v>1070.9735652173918</c:v>
                </c:pt>
                <c:pt idx="4">
                  <c:v>1017.2206976744191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3E-F44D-B8E3-D125E607856D}"/>
            </c:ext>
          </c:extLst>
        </c:ser>
        <c:ser>
          <c:idx val="3"/>
          <c:order val="3"/>
          <c:tx>
            <c:strRef>
              <c:f>'By Category'!$E$32</c:f>
              <c:strCache>
                <c:ptCount val="1"/>
                <c:pt idx="0">
                  <c:v>% of Revenue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'By Category'!$A$33:$A$37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'By Category'!$E$33:$E$37</c:f>
              <c:numCache>
                <c:formatCode>0.0%</c:formatCode>
                <c:ptCount val="5"/>
                <c:pt idx="0">
                  <c:v>0.20540330767063855</c:v>
                </c:pt>
                <c:pt idx="1">
                  <c:v>0.20861445737979012</c:v>
                </c:pt>
                <c:pt idx="2">
                  <c:v>0.18371929845201851</c:v>
                </c:pt>
                <c:pt idx="3">
                  <c:v>0.19475911498793022</c:v>
                </c:pt>
                <c:pt idx="4">
                  <c:v>0.20750382150962227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3E-F44D-B8E3-D125E6078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45309872"/>
        <c:axId val="1145311584"/>
      </c:barChart>
      <c:catAx>
        <c:axId val="1145309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11584"/>
        <c:crosses val="autoZero"/>
        <c:auto val="1"/>
        <c:lblAlgn val="ctr"/>
        <c:lblOffset val="100"/>
        <c:noMultiLvlLbl val="0"/>
      </c:catAx>
      <c:valAx>
        <c:axId val="114531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0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600" b="1">
                <a:solidFill>
                  <a:schemeClr val="tx1"/>
                </a:solidFill>
              </a:rPr>
              <a:t>Order</a:t>
            </a:r>
            <a:r>
              <a:rPr lang="en-GB" sz="1600" b="1" baseline="0">
                <a:solidFill>
                  <a:schemeClr val="tx1"/>
                </a:solidFill>
              </a:rPr>
              <a:t> Status</a:t>
            </a:r>
            <a:endParaRPr lang="en-GB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'By Category'!$B$41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'By Category'!$A$42:$A$46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'By Category'!$B$42:$B$46</c:f>
              <c:numCache>
                <c:formatCode>General</c:formatCode>
                <c:ptCount val="5"/>
                <c:pt idx="0">
                  <c:v>231</c:v>
                </c:pt>
                <c:pt idx="1">
                  <c:v>235</c:v>
                </c:pt>
                <c:pt idx="2">
                  <c:v>237</c:v>
                </c:pt>
                <c:pt idx="3">
                  <c:v>250</c:v>
                </c:pt>
                <c:pt idx="4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4F-4A4E-BC72-F9DC5FEEB43B}"/>
            </c:ext>
          </c:extLst>
        </c:ser>
        <c:ser>
          <c:idx val="1"/>
          <c:order val="1"/>
          <c:tx>
            <c:strRef>
              <c:f>'By Category'!$C$41</c:f>
              <c:strCache>
                <c:ptCount val="1"/>
                <c:pt idx="0">
                  <c:v>% of Orders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'By Category'!$A$42:$A$46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'By Category'!$C$42:$C$46</c:f>
              <c:numCache>
                <c:formatCode>0.0%</c:formatCode>
                <c:ptCount val="5"/>
                <c:pt idx="0">
                  <c:v>0.1925</c:v>
                </c:pt>
                <c:pt idx="1">
                  <c:v>0.19583333333333333</c:v>
                </c:pt>
                <c:pt idx="2">
                  <c:v>0.19750000000000001</c:v>
                </c:pt>
                <c:pt idx="3">
                  <c:v>0.20833333333333334</c:v>
                </c:pt>
                <c:pt idx="4">
                  <c:v>0.20583333333333334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4F-4A4E-BC72-F9DC5FEEB43B}"/>
            </c:ext>
          </c:extLst>
        </c:ser>
        <c:ser>
          <c:idx val="2"/>
          <c:order val="2"/>
          <c:tx>
            <c:strRef>
              <c:f>'By Category'!$D$41</c:f>
              <c:strCache>
                <c:ptCount val="1"/>
                <c:pt idx="0">
                  <c:v>Gross Value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'By Category'!$A$42:$A$46</c:f>
              <c:strCache>
                <c:ptCount val="5"/>
                <c:pt idx="0">
                  <c:v>Delivered</c:v>
                </c:pt>
                <c:pt idx="1">
                  <c:v>Shipped</c:v>
                </c:pt>
                <c:pt idx="2">
                  <c:v>Pending</c:v>
                </c:pt>
                <c:pt idx="3">
                  <c:v>Cancelled</c:v>
                </c:pt>
                <c:pt idx="4">
                  <c:v>Returned</c:v>
                </c:pt>
              </c:strCache>
            </c:strRef>
          </c:cat>
          <c:val>
            <c:numRef>
              <c:f>'By Category'!$D$42:$D$46</c:f>
              <c:numCache>
                <c:formatCode>#,##0.00</c:formatCode>
                <c:ptCount val="5"/>
                <c:pt idx="0">
                  <c:v>242600.31999999998</c:v>
                </c:pt>
                <c:pt idx="1">
                  <c:v>246159.57999999987</c:v>
                </c:pt>
                <c:pt idx="2">
                  <c:v>256328.15000000002</c:v>
                </c:pt>
                <c:pt idx="3">
                  <c:v>276396.20999999996</c:v>
                </c:pt>
                <c:pt idx="4">
                  <c:v>243277.70000000013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4F-4A4E-BC72-F9DC5FEEB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44186864"/>
        <c:axId val="1950782463"/>
      </c:barChart>
      <c:catAx>
        <c:axId val="34418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782463"/>
        <c:crosses val="autoZero"/>
        <c:auto val="1"/>
        <c:lblAlgn val="ctr"/>
        <c:lblOffset val="100"/>
        <c:noMultiLvlLbl val="0"/>
      </c:catAx>
      <c:valAx>
        <c:axId val="195078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18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sz="1800" b="1">
                <a:solidFill>
                  <a:schemeClr val="tx1"/>
                </a:solidFill>
              </a:rPr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'Monthly Trend'!$C$3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'Monthly Trend'!$A$4:$A$33</c:f>
              <c:numCache>
                <c:formatCode>mmm\ 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cat>
          <c:val>
            <c:numRef>
              <c:f>'Monthly Trend'!$C$4:$C$33</c:f>
              <c:numCache>
                <c:formatCode>#,##0.00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47-A54D-B4F0-A74486F6A8E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58097568"/>
        <c:axId val="344923712"/>
      </c:lineChart>
      <c:dateAx>
        <c:axId val="1158097568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23712"/>
        <c:crosses val="autoZero"/>
        <c:auto val="1"/>
        <c:lblOffset val="100"/>
        <c:baseTimeUnit val="months"/>
      </c:dateAx>
      <c:valAx>
        <c:axId val="34492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09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Monthly 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Orders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'Monthly Trend'!$A$4:$A$33</c:f>
              <c:numCache>
                <c:formatCode>mmm\ yyyy</c:formatCode>
                <c:ptCount val="30"/>
                <c:pt idx="0">
                  <c:v>44927</c:v>
                </c:pt>
                <c:pt idx="1">
                  <c:v>44958</c:v>
                </c:pt>
                <c:pt idx="2">
                  <c:v>44986</c:v>
                </c:pt>
                <c:pt idx="3">
                  <c:v>45017</c:v>
                </c:pt>
                <c:pt idx="4">
                  <c:v>45047</c:v>
                </c:pt>
                <c:pt idx="5">
                  <c:v>45078</c:v>
                </c:pt>
                <c:pt idx="6">
                  <c:v>45108</c:v>
                </c:pt>
                <c:pt idx="7">
                  <c:v>45139</c:v>
                </c:pt>
                <c:pt idx="8">
                  <c:v>45170</c:v>
                </c:pt>
                <c:pt idx="9">
                  <c:v>45200</c:v>
                </c:pt>
                <c:pt idx="10">
                  <c:v>45231</c:v>
                </c:pt>
                <c:pt idx="11">
                  <c:v>45261</c:v>
                </c:pt>
                <c:pt idx="12">
                  <c:v>45292</c:v>
                </c:pt>
                <c:pt idx="13">
                  <c:v>45323</c:v>
                </c:pt>
                <c:pt idx="14">
                  <c:v>45352</c:v>
                </c:pt>
                <c:pt idx="15">
                  <c:v>45383</c:v>
                </c:pt>
                <c:pt idx="16">
                  <c:v>45413</c:v>
                </c:pt>
                <c:pt idx="17">
                  <c:v>45444</c:v>
                </c:pt>
                <c:pt idx="18">
                  <c:v>45474</c:v>
                </c:pt>
                <c:pt idx="19">
                  <c:v>45505</c:v>
                </c:pt>
                <c:pt idx="20">
                  <c:v>45536</c:v>
                </c:pt>
                <c:pt idx="21">
                  <c:v>45566</c:v>
                </c:pt>
                <c:pt idx="22">
                  <c:v>45597</c:v>
                </c:pt>
                <c:pt idx="23">
                  <c:v>45627</c:v>
                </c:pt>
                <c:pt idx="24">
                  <c:v>45658</c:v>
                </c:pt>
                <c:pt idx="25">
                  <c:v>45689</c:v>
                </c:pt>
                <c:pt idx="26">
                  <c:v>45717</c:v>
                </c:pt>
                <c:pt idx="27">
                  <c:v>45748</c:v>
                </c:pt>
                <c:pt idx="28">
                  <c:v>45778</c:v>
                </c:pt>
                <c:pt idx="29">
                  <c:v>45809</c:v>
                </c:pt>
              </c:numCache>
            </c:numRef>
          </c:xVal>
          <c:yVal>
            <c:numRef>
              <c:f>'Monthly Trend'!$B$4:$B$33</c:f>
              <c:numCache>
                <c:formatCode>General</c:formatCode>
                <c:ptCount val="30"/>
                <c:pt idx="0">
                  <c:v>47</c:v>
                </c:pt>
                <c:pt idx="1">
                  <c:v>37</c:v>
                </c:pt>
                <c:pt idx="2">
                  <c:v>43</c:v>
                </c:pt>
                <c:pt idx="3">
                  <c:v>31</c:v>
                </c:pt>
                <c:pt idx="4">
                  <c:v>49</c:v>
                </c:pt>
                <c:pt idx="5">
                  <c:v>45</c:v>
                </c:pt>
                <c:pt idx="6">
                  <c:v>44</c:v>
                </c:pt>
                <c:pt idx="7">
                  <c:v>51</c:v>
                </c:pt>
                <c:pt idx="8">
                  <c:v>29</c:v>
                </c:pt>
                <c:pt idx="9">
                  <c:v>47</c:v>
                </c:pt>
                <c:pt idx="10">
                  <c:v>41</c:v>
                </c:pt>
                <c:pt idx="11">
                  <c:v>46</c:v>
                </c:pt>
                <c:pt idx="12">
                  <c:v>32</c:v>
                </c:pt>
                <c:pt idx="13">
                  <c:v>32</c:v>
                </c:pt>
                <c:pt idx="14">
                  <c:v>36</c:v>
                </c:pt>
                <c:pt idx="15">
                  <c:v>50</c:v>
                </c:pt>
                <c:pt idx="16">
                  <c:v>34</c:v>
                </c:pt>
                <c:pt idx="17">
                  <c:v>53</c:v>
                </c:pt>
                <c:pt idx="18">
                  <c:v>43</c:v>
                </c:pt>
                <c:pt idx="19">
                  <c:v>28</c:v>
                </c:pt>
                <c:pt idx="20">
                  <c:v>44</c:v>
                </c:pt>
                <c:pt idx="21">
                  <c:v>31</c:v>
                </c:pt>
                <c:pt idx="22">
                  <c:v>35</c:v>
                </c:pt>
                <c:pt idx="23">
                  <c:v>41</c:v>
                </c:pt>
                <c:pt idx="24">
                  <c:v>27</c:v>
                </c:pt>
                <c:pt idx="25">
                  <c:v>37</c:v>
                </c:pt>
                <c:pt idx="26">
                  <c:v>49</c:v>
                </c:pt>
                <c:pt idx="27">
                  <c:v>32</c:v>
                </c:pt>
                <c:pt idx="28">
                  <c:v>37</c:v>
                </c:pt>
                <c:pt idx="29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C-8345-AAF1-A7A7B42AF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54992"/>
        <c:axId val="669904223"/>
      </c:scatterChart>
      <c:valAx>
        <c:axId val="3225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04223"/>
        <c:crosses val="autoZero"/>
        <c:crossBetween val="midCat"/>
      </c:valAx>
      <c:valAx>
        <c:axId val="66990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54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6838</xdr:colOff>
      <xdr:row>0</xdr:row>
      <xdr:rowOff>40054</xdr:rowOff>
    </xdr:from>
    <xdr:to>
      <xdr:col>12</xdr:col>
      <xdr:colOff>426915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FB12B4-4E76-8F5B-A01C-7A11D6510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11723</xdr:colOff>
      <xdr:row>15</xdr:row>
      <xdr:rowOff>153377</xdr:rowOff>
    </xdr:from>
    <xdr:to>
      <xdr:col>12</xdr:col>
      <xdr:colOff>431800</xdr:colOff>
      <xdr:row>29</xdr:row>
      <xdr:rowOff>161192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0D566B7-A732-18BA-028A-9FA33325E0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219808</xdr:colOff>
      <xdr:row>15</xdr:row>
      <xdr:rowOff>186593</xdr:rowOff>
    </xdr:from>
    <xdr:to>
      <xdr:col>18</xdr:col>
      <xdr:colOff>639885</xdr:colOff>
      <xdr:row>29</xdr:row>
      <xdr:rowOff>194408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C2229F-1975-8909-9958-0860FE7321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32</xdr:row>
      <xdr:rowOff>30284</xdr:rowOff>
    </xdr:from>
    <xdr:to>
      <xdr:col>12</xdr:col>
      <xdr:colOff>385884</xdr:colOff>
      <xdr:row>46</xdr:row>
      <xdr:rowOff>38099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C55299A-0DE8-45D0-AB0C-B61FF53FD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46</xdr:row>
      <xdr:rowOff>118207</xdr:rowOff>
    </xdr:from>
    <xdr:to>
      <xdr:col>11</xdr:col>
      <xdr:colOff>678962</xdr:colOff>
      <xdr:row>60</xdr:row>
      <xdr:rowOff>126023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84B511E-3569-0540-C106-738BD07F4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95250</xdr:colOff>
      <xdr:row>1</xdr:row>
      <xdr:rowOff>12700</xdr:rowOff>
    </xdr:from>
    <xdr:to>
      <xdr:col>19</xdr:col>
      <xdr:colOff>444500</xdr:colOff>
      <xdr:row>24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5D0709-5F51-1AD7-9F04-AFFBB7266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107950</xdr:colOff>
      <xdr:row>25</xdr:row>
      <xdr:rowOff>133350</xdr:rowOff>
    </xdr:from>
    <xdr:to>
      <xdr:col>19</xdr:col>
      <xdr:colOff>482600</xdr:colOff>
      <xdr:row>39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A8D6FF-9C65-3786-CD06-A298C31700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Project2_EDA_Starter.xlsx" TargetMode="External"/><Relationship Id="rId2" Type="http://schemas.openxmlformats.org/officeDocument/2006/relationships/externalLinkPath" Target="/Users/rubelhasan1989/Downloads/Project2_EDA_Starter.xlsx" TargetMode="External"/><Relationship Id="rId1" Type="http://schemas.openxmlformats.org/officeDocument/2006/relationships/externalLinkPath" Target="/Users/rubelhasan1989/Downloads/Project2_EDA_Star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Descriptive_Stats"/>
      <sheetName val="By_Category"/>
      <sheetName val="Monthly_Trend"/>
      <sheetName val="Outliers"/>
      <sheetName val="Key_Observations"/>
      <sheetName val="Sheet1"/>
    </sheetNames>
    <sheetDataSet>
      <sheetData sheetId="0">
        <row r="2">
          <cell r="N2">
            <v>2853.1</v>
          </cell>
        </row>
        <row r="3">
          <cell r="N3">
            <v>302.7</v>
          </cell>
        </row>
        <row r="4">
          <cell r="N4">
            <v>2753.4</v>
          </cell>
        </row>
        <row r="5">
          <cell r="N5">
            <v>273.19</v>
          </cell>
        </row>
        <row r="6">
          <cell r="N6">
            <v>2504.04</v>
          </cell>
        </row>
        <row r="7">
          <cell r="N7">
            <v>491.72</v>
          </cell>
        </row>
        <row r="8">
          <cell r="N8">
            <v>664.42</v>
          </cell>
        </row>
        <row r="9">
          <cell r="N9">
            <v>747.75</v>
          </cell>
        </row>
        <row r="10">
          <cell r="N10">
            <v>268.56</v>
          </cell>
        </row>
        <row r="11">
          <cell r="N11">
            <v>2037.52</v>
          </cell>
        </row>
        <row r="12">
          <cell r="N12">
            <v>3129.85</v>
          </cell>
        </row>
        <row r="13">
          <cell r="N13">
            <v>147.41999999999999</v>
          </cell>
        </row>
        <row r="14">
          <cell r="N14">
            <v>361</v>
          </cell>
        </row>
        <row r="15">
          <cell r="N15">
            <v>604.47</v>
          </cell>
        </row>
        <row r="16">
          <cell r="N16">
            <v>786.66</v>
          </cell>
        </row>
        <row r="17">
          <cell r="N17">
            <v>473.96</v>
          </cell>
        </row>
        <row r="18">
          <cell r="N18">
            <v>1067.6199999999999</v>
          </cell>
        </row>
        <row r="19">
          <cell r="N19">
            <v>423.4</v>
          </cell>
        </row>
        <row r="20">
          <cell r="N20">
            <v>431.44</v>
          </cell>
        </row>
        <row r="21">
          <cell r="N21">
            <v>1120</v>
          </cell>
        </row>
        <row r="22">
          <cell r="N22">
            <v>312.55</v>
          </cell>
        </row>
        <row r="23">
          <cell r="N23">
            <v>1371.8</v>
          </cell>
        </row>
        <row r="24">
          <cell r="N24">
            <v>99.24</v>
          </cell>
        </row>
        <row r="25">
          <cell r="N25">
            <v>1093</v>
          </cell>
        </row>
        <row r="26">
          <cell r="N26">
            <v>461.9</v>
          </cell>
        </row>
        <row r="27">
          <cell r="N27">
            <v>399.98</v>
          </cell>
        </row>
        <row r="28">
          <cell r="N28">
            <v>297.75</v>
          </cell>
        </row>
        <row r="29">
          <cell r="N29">
            <v>472.74</v>
          </cell>
        </row>
        <row r="30">
          <cell r="N30">
            <v>640.28</v>
          </cell>
        </row>
        <row r="31">
          <cell r="N31">
            <v>1270.5899999999999</v>
          </cell>
        </row>
        <row r="32">
          <cell r="N32">
            <v>853.4</v>
          </cell>
        </row>
        <row r="33">
          <cell r="N33">
            <v>1500.24</v>
          </cell>
        </row>
        <row r="34">
          <cell r="N34">
            <v>2683.6</v>
          </cell>
        </row>
        <row r="35">
          <cell r="N35">
            <v>162.77000000000001</v>
          </cell>
        </row>
        <row r="36">
          <cell r="N36">
            <v>2306.08</v>
          </cell>
        </row>
        <row r="37">
          <cell r="N37">
            <v>930.3</v>
          </cell>
        </row>
        <row r="38">
          <cell r="N38">
            <v>1068.8599999999999</v>
          </cell>
        </row>
        <row r="39">
          <cell r="N39">
            <v>153.47999999999999</v>
          </cell>
        </row>
        <row r="40">
          <cell r="N40">
            <v>245.89</v>
          </cell>
        </row>
        <row r="41">
          <cell r="N41">
            <v>769.38</v>
          </cell>
        </row>
        <row r="42">
          <cell r="N42">
            <v>688.04</v>
          </cell>
        </row>
        <row r="43">
          <cell r="N43">
            <v>1834.35</v>
          </cell>
        </row>
        <row r="44">
          <cell r="N44">
            <v>303.32</v>
          </cell>
        </row>
        <row r="45">
          <cell r="N45">
            <v>1497.63</v>
          </cell>
        </row>
        <row r="46">
          <cell r="N46">
            <v>1100.3599999999999</v>
          </cell>
        </row>
        <row r="47">
          <cell r="N47">
            <v>317.25</v>
          </cell>
        </row>
        <row r="48">
          <cell r="N48">
            <v>2200.56</v>
          </cell>
        </row>
        <row r="49">
          <cell r="N49">
            <v>419.88</v>
          </cell>
        </row>
        <row r="50">
          <cell r="N50">
            <v>161.54</v>
          </cell>
        </row>
        <row r="51">
          <cell r="N51">
            <v>30.44</v>
          </cell>
        </row>
        <row r="52">
          <cell r="N52">
            <v>179.22</v>
          </cell>
        </row>
        <row r="53">
          <cell r="N53">
            <v>388.33</v>
          </cell>
        </row>
        <row r="54">
          <cell r="N54">
            <v>586.44000000000005</v>
          </cell>
        </row>
        <row r="55">
          <cell r="N55">
            <v>1955.12</v>
          </cell>
        </row>
        <row r="56">
          <cell r="N56">
            <v>280.25</v>
          </cell>
        </row>
        <row r="57">
          <cell r="N57">
            <v>1033.2</v>
          </cell>
        </row>
        <row r="58">
          <cell r="N58">
            <v>1437.63</v>
          </cell>
        </row>
        <row r="59">
          <cell r="N59">
            <v>1571.35</v>
          </cell>
        </row>
        <row r="60">
          <cell r="N60">
            <v>1898.76</v>
          </cell>
        </row>
        <row r="61">
          <cell r="N61">
            <v>2373.08</v>
          </cell>
        </row>
        <row r="62">
          <cell r="N62">
            <v>417.1</v>
          </cell>
        </row>
        <row r="63">
          <cell r="N63">
            <v>488.8</v>
          </cell>
        </row>
        <row r="64">
          <cell r="N64">
            <v>86.3</v>
          </cell>
        </row>
        <row r="65">
          <cell r="N65">
            <v>564.86</v>
          </cell>
        </row>
        <row r="66">
          <cell r="N66">
            <v>391.83</v>
          </cell>
        </row>
        <row r="67">
          <cell r="N67">
            <v>408.5</v>
          </cell>
        </row>
        <row r="68">
          <cell r="N68">
            <v>635.9</v>
          </cell>
        </row>
        <row r="69">
          <cell r="N69">
            <v>48.4</v>
          </cell>
        </row>
        <row r="70">
          <cell r="N70">
            <v>1472.76</v>
          </cell>
        </row>
        <row r="71">
          <cell r="N71">
            <v>1435.95</v>
          </cell>
        </row>
        <row r="72">
          <cell r="N72">
            <v>629.21</v>
          </cell>
        </row>
        <row r="73">
          <cell r="N73">
            <v>1303.3499999999999</v>
          </cell>
        </row>
        <row r="74">
          <cell r="N74">
            <v>2357.7600000000002</v>
          </cell>
        </row>
        <row r="75">
          <cell r="N75">
            <v>1733.8</v>
          </cell>
        </row>
        <row r="76">
          <cell r="N76">
            <v>454.35</v>
          </cell>
        </row>
        <row r="77">
          <cell r="N77">
            <v>1194.51</v>
          </cell>
        </row>
        <row r="78">
          <cell r="N78">
            <v>1531.52</v>
          </cell>
        </row>
        <row r="79">
          <cell r="N79">
            <v>583.17999999999995</v>
          </cell>
        </row>
        <row r="80">
          <cell r="N80">
            <v>701.44</v>
          </cell>
        </row>
        <row r="81">
          <cell r="N81">
            <v>623.82000000000005</v>
          </cell>
        </row>
        <row r="82">
          <cell r="N82">
            <v>1768.68</v>
          </cell>
        </row>
        <row r="83">
          <cell r="N83">
            <v>788.6</v>
          </cell>
        </row>
        <row r="84">
          <cell r="N84">
            <v>2260.8000000000002</v>
          </cell>
        </row>
        <row r="85">
          <cell r="N85">
            <v>2161.64</v>
          </cell>
        </row>
        <row r="86">
          <cell r="N86">
            <v>330.98</v>
          </cell>
        </row>
        <row r="87">
          <cell r="N87">
            <v>440.19</v>
          </cell>
        </row>
        <row r="88">
          <cell r="N88">
            <v>3215.15</v>
          </cell>
        </row>
        <row r="89">
          <cell r="N89">
            <v>675.33</v>
          </cell>
        </row>
        <row r="90">
          <cell r="N90">
            <v>344.43</v>
          </cell>
        </row>
        <row r="91">
          <cell r="N91">
            <v>2276.65</v>
          </cell>
        </row>
        <row r="92">
          <cell r="N92">
            <v>728.32</v>
          </cell>
        </row>
        <row r="93">
          <cell r="N93">
            <v>2463.75</v>
          </cell>
        </row>
        <row r="94">
          <cell r="N94">
            <v>194.44</v>
          </cell>
        </row>
        <row r="95">
          <cell r="N95">
            <v>1724.04</v>
          </cell>
        </row>
        <row r="96">
          <cell r="N96">
            <v>531.17999999999995</v>
          </cell>
        </row>
        <row r="97">
          <cell r="N97">
            <v>470.04</v>
          </cell>
        </row>
        <row r="98">
          <cell r="N98">
            <v>465.66</v>
          </cell>
        </row>
        <row r="99">
          <cell r="N99">
            <v>3097.6</v>
          </cell>
        </row>
        <row r="100">
          <cell r="N100">
            <v>457.08</v>
          </cell>
        </row>
        <row r="101">
          <cell r="N101">
            <v>201.58</v>
          </cell>
        </row>
        <row r="102">
          <cell r="N102">
            <v>1994.37</v>
          </cell>
        </row>
        <row r="103">
          <cell r="N103">
            <v>381.02</v>
          </cell>
        </row>
        <row r="104">
          <cell r="N104">
            <v>140.68</v>
          </cell>
        </row>
        <row r="105">
          <cell r="N105">
            <v>873.72</v>
          </cell>
        </row>
        <row r="106">
          <cell r="N106">
            <v>582.04</v>
          </cell>
        </row>
        <row r="107">
          <cell r="N107">
            <v>556.20000000000005</v>
          </cell>
        </row>
        <row r="108">
          <cell r="N108">
            <v>1395.15</v>
          </cell>
        </row>
        <row r="109">
          <cell r="N109">
            <v>3353.75</v>
          </cell>
        </row>
        <row r="110">
          <cell r="N110">
            <v>241.9</v>
          </cell>
        </row>
        <row r="111">
          <cell r="N111">
            <v>1778.61</v>
          </cell>
        </row>
        <row r="112">
          <cell r="N112">
            <v>220.77</v>
          </cell>
        </row>
        <row r="113">
          <cell r="N113">
            <v>927.66</v>
          </cell>
        </row>
        <row r="114">
          <cell r="N114">
            <v>410.6</v>
          </cell>
        </row>
        <row r="115">
          <cell r="N115">
            <v>950.4</v>
          </cell>
        </row>
        <row r="116">
          <cell r="N116">
            <v>2492.4</v>
          </cell>
        </row>
        <row r="117">
          <cell r="N117">
            <v>1874.95</v>
          </cell>
        </row>
        <row r="118">
          <cell r="N118">
            <v>1165.4000000000001</v>
          </cell>
        </row>
        <row r="119">
          <cell r="N119">
            <v>535.5</v>
          </cell>
        </row>
        <row r="120">
          <cell r="N120">
            <v>2513.5500000000002</v>
          </cell>
        </row>
        <row r="121">
          <cell r="N121">
            <v>1069.3399999999999</v>
          </cell>
        </row>
        <row r="122">
          <cell r="N122">
            <v>2517.36</v>
          </cell>
        </row>
        <row r="123">
          <cell r="N123">
            <v>410.78</v>
          </cell>
        </row>
        <row r="124">
          <cell r="N124">
            <v>1066.04</v>
          </cell>
        </row>
        <row r="125">
          <cell r="N125">
            <v>834.12</v>
          </cell>
        </row>
        <row r="126">
          <cell r="N126">
            <v>1135.1600000000001</v>
          </cell>
        </row>
        <row r="127">
          <cell r="N127">
            <v>1025.3</v>
          </cell>
        </row>
        <row r="128">
          <cell r="N128">
            <v>1102</v>
          </cell>
        </row>
        <row r="129">
          <cell r="N129">
            <v>1407.96</v>
          </cell>
        </row>
        <row r="130">
          <cell r="N130">
            <v>84.28</v>
          </cell>
        </row>
        <row r="131">
          <cell r="N131">
            <v>1055.72</v>
          </cell>
        </row>
        <row r="132">
          <cell r="N132">
            <v>1503.9</v>
          </cell>
        </row>
        <row r="133">
          <cell r="N133">
            <v>84.8</v>
          </cell>
        </row>
        <row r="134">
          <cell r="N134">
            <v>1803</v>
          </cell>
        </row>
        <row r="135">
          <cell r="N135">
            <v>1208.2</v>
          </cell>
        </row>
        <row r="136">
          <cell r="N136">
            <v>399.4</v>
          </cell>
        </row>
        <row r="137">
          <cell r="N137">
            <v>137.62</v>
          </cell>
        </row>
        <row r="138">
          <cell r="N138">
            <v>44.35</v>
          </cell>
        </row>
        <row r="139">
          <cell r="N139">
            <v>501.96</v>
          </cell>
        </row>
        <row r="140">
          <cell r="N140">
            <v>298.06</v>
          </cell>
        </row>
        <row r="141">
          <cell r="N141">
            <v>583.9</v>
          </cell>
        </row>
        <row r="142">
          <cell r="N142">
            <v>1584.42</v>
          </cell>
        </row>
        <row r="143">
          <cell r="N143">
            <v>2052.42</v>
          </cell>
        </row>
        <row r="144">
          <cell r="N144">
            <v>1363.85</v>
          </cell>
        </row>
        <row r="145">
          <cell r="N145">
            <v>1600.28</v>
          </cell>
        </row>
        <row r="146">
          <cell r="N146">
            <v>1098.9000000000001</v>
          </cell>
        </row>
        <row r="147">
          <cell r="N147">
            <v>440.73</v>
          </cell>
        </row>
        <row r="148">
          <cell r="N148">
            <v>822.98</v>
          </cell>
        </row>
        <row r="149">
          <cell r="N149">
            <v>930.36</v>
          </cell>
        </row>
        <row r="150">
          <cell r="N150">
            <v>639.82000000000005</v>
          </cell>
        </row>
        <row r="151">
          <cell r="N151">
            <v>217.56</v>
          </cell>
        </row>
        <row r="152">
          <cell r="N152">
            <v>211.14</v>
          </cell>
        </row>
        <row r="153">
          <cell r="N153">
            <v>2223.8000000000002</v>
          </cell>
        </row>
        <row r="154">
          <cell r="N154">
            <v>798.08</v>
          </cell>
        </row>
        <row r="155">
          <cell r="N155">
            <v>2137.92</v>
          </cell>
        </row>
        <row r="156">
          <cell r="N156">
            <v>1632.84</v>
          </cell>
        </row>
        <row r="157">
          <cell r="N157">
            <v>424.4</v>
          </cell>
        </row>
        <row r="158">
          <cell r="N158">
            <v>539.66</v>
          </cell>
        </row>
        <row r="159">
          <cell r="N159">
            <v>1129.1600000000001</v>
          </cell>
        </row>
        <row r="160">
          <cell r="N160">
            <v>331.06</v>
          </cell>
        </row>
        <row r="161">
          <cell r="N161">
            <v>299.35000000000002</v>
          </cell>
        </row>
        <row r="162">
          <cell r="N162">
            <v>405.28</v>
          </cell>
        </row>
        <row r="163">
          <cell r="N163">
            <v>211.14</v>
          </cell>
        </row>
        <row r="164">
          <cell r="N164">
            <v>197.58</v>
          </cell>
        </row>
        <row r="165">
          <cell r="N165">
            <v>641.39</v>
          </cell>
        </row>
        <row r="166">
          <cell r="N166">
            <v>2682.9</v>
          </cell>
        </row>
        <row r="167">
          <cell r="N167">
            <v>1000.58</v>
          </cell>
        </row>
        <row r="168">
          <cell r="N168">
            <v>258.87</v>
          </cell>
        </row>
        <row r="169">
          <cell r="N169">
            <v>768.28</v>
          </cell>
        </row>
        <row r="170">
          <cell r="N170">
            <v>594.96</v>
          </cell>
        </row>
        <row r="171">
          <cell r="N171">
            <v>427.82</v>
          </cell>
        </row>
        <row r="172">
          <cell r="N172">
            <v>2651.76</v>
          </cell>
        </row>
        <row r="173">
          <cell r="N173">
            <v>296.44</v>
          </cell>
        </row>
        <row r="174">
          <cell r="N174">
            <v>254.12</v>
          </cell>
        </row>
        <row r="175">
          <cell r="N175">
            <v>1993.38</v>
          </cell>
        </row>
        <row r="176">
          <cell r="N176">
            <v>2403.2399999999998</v>
          </cell>
        </row>
        <row r="177">
          <cell r="N177">
            <v>341.7</v>
          </cell>
        </row>
        <row r="178">
          <cell r="N178">
            <v>1723.32</v>
          </cell>
        </row>
        <row r="179">
          <cell r="N179">
            <v>2158.4499999999998</v>
          </cell>
        </row>
        <row r="180">
          <cell r="N180">
            <v>2048.2399999999998</v>
          </cell>
        </row>
        <row r="181">
          <cell r="N181">
            <v>1619.73</v>
          </cell>
        </row>
        <row r="182">
          <cell r="N182">
            <v>1580.35</v>
          </cell>
        </row>
        <row r="183">
          <cell r="N183">
            <v>2021.95</v>
          </cell>
        </row>
        <row r="184">
          <cell r="N184">
            <v>600.54</v>
          </cell>
        </row>
        <row r="185">
          <cell r="N185">
            <v>931.4</v>
          </cell>
        </row>
        <row r="186">
          <cell r="N186">
            <v>858.16</v>
          </cell>
        </row>
        <row r="187">
          <cell r="N187">
            <v>210.7</v>
          </cell>
        </row>
        <row r="188">
          <cell r="N188">
            <v>267.10000000000002</v>
          </cell>
        </row>
        <row r="189">
          <cell r="N189">
            <v>590.87</v>
          </cell>
        </row>
        <row r="190">
          <cell r="N190">
            <v>727.82</v>
          </cell>
        </row>
        <row r="191">
          <cell r="N191">
            <v>2147.25</v>
          </cell>
        </row>
        <row r="192">
          <cell r="N192">
            <v>671.1</v>
          </cell>
        </row>
        <row r="193">
          <cell r="N193">
            <v>977.74</v>
          </cell>
        </row>
        <row r="194">
          <cell r="N194">
            <v>645.46</v>
          </cell>
        </row>
        <row r="195">
          <cell r="N195">
            <v>46.66</v>
          </cell>
        </row>
        <row r="196">
          <cell r="N196">
            <v>249.57</v>
          </cell>
        </row>
        <row r="197">
          <cell r="N197">
            <v>1857.63</v>
          </cell>
        </row>
        <row r="198">
          <cell r="N198">
            <v>868.52</v>
          </cell>
        </row>
        <row r="199">
          <cell r="N199">
            <v>1107.55</v>
          </cell>
        </row>
        <row r="200">
          <cell r="N200">
            <v>1361.2</v>
          </cell>
        </row>
        <row r="201">
          <cell r="N201">
            <v>625</v>
          </cell>
        </row>
        <row r="202">
          <cell r="N202">
            <v>2166.3000000000002</v>
          </cell>
        </row>
        <row r="203">
          <cell r="N203">
            <v>1349.8</v>
          </cell>
        </row>
        <row r="204">
          <cell r="N204">
            <v>761.94</v>
          </cell>
        </row>
        <row r="205">
          <cell r="N205">
            <v>1070.52</v>
          </cell>
        </row>
        <row r="206">
          <cell r="N206">
            <v>1654.84</v>
          </cell>
        </row>
        <row r="207">
          <cell r="N207">
            <v>442.17</v>
          </cell>
        </row>
        <row r="208">
          <cell r="N208">
            <v>916.4</v>
          </cell>
        </row>
        <row r="209">
          <cell r="N209">
            <v>121.96</v>
          </cell>
        </row>
        <row r="210">
          <cell r="N210">
            <v>816.64</v>
          </cell>
        </row>
        <row r="211">
          <cell r="N211">
            <v>939.85</v>
          </cell>
        </row>
        <row r="212">
          <cell r="N212">
            <v>1075.44</v>
          </cell>
        </row>
        <row r="213">
          <cell r="N213">
            <v>580.74</v>
          </cell>
        </row>
        <row r="214">
          <cell r="N214">
            <v>265.38</v>
          </cell>
        </row>
        <row r="215">
          <cell r="N215">
            <v>634.4</v>
          </cell>
        </row>
        <row r="216">
          <cell r="N216">
            <v>1222.8800000000001</v>
          </cell>
        </row>
        <row r="217">
          <cell r="N217">
            <v>303.60000000000002</v>
          </cell>
        </row>
        <row r="218">
          <cell r="N218">
            <v>1984</v>
          </cell>
        </row>
        <row r="219">
          <cell r="N219">
            <v>1286.04</v>
          </cell>
        </row>
        <row r="220">
          <cell r="N220">
            <v>337.38</v>
          </cell>
        </row>
        <row r="221">
          <cell r="N221">
            <v>309.85000000000002</v>
          </cell>
        </row>
        <row r="222">
          <cell r="N222">
            <v>746.34</v>
          </cell>
        </row>
        <row r="223">
          <cell r="N223">
            <v>3196.85</v>
          </cell>
        </row>
        <row r="224">
          <cell r="N224">
            <v>2773.44</v>
          </cell>
        </row>
        <row r="225">
          <cell r="N225">
            <v>2771.64</v>
          </cell>
        </row>
        <row r="226">
          <cell r="N226">
            <v>365.84</v>
          </cell>
        </row>
        <row r="227">
          <cell r="N227">
            <v>821.88</v>
          </cell>
        </row>
        <row r="228">
          <cell r="N228">
            <v>1764.15</v>
          </cell>
        </row>
        <row r="229">
          <cell r="N229">
            <v>730.34</v>
          </cell>
        </row>
        <row r="230">
          <cell r="N230">
            <v>1543.68</v>
          </cell>
        </row>
        <row r="231">
          <cell r="N231">
            <v>562.61</v>
          </cell>
        </row>
        <row r="232">
          <cell r="N232">
            <v>247.64</v>
          </cell>
        </row>
        <row r="233">
          <cell r="N233">
            <v>167.6</v>
          </cell>
        </row>
        <row r="234">
          <cell r="N234">
            <v>1777.76</v>
          </cell>
        </row>
        <row r="235">
          <cell r="N235">
            <v>933.99</v>
          </cell>
        </row>
        <row r="236">
          <cell r="N236">
            <v>945.64</v>
          </cell>
        </row>
        <row r="237">
          <cell r="N237">
            <v>65.45</v>
          </cell>
        </row>
        <row r="238">
          <cell r="N238">
            <v>318.81</v>
          </cell>
        </row>
        <row r="239">
          <cell r="N239">
            <v>1751.16</v>
          </cell>
        </row>
        <row r="240">
          <cell r="N240">
            <v>1537.28</v>
          </cell>
        </row>
        <row r="241">
          <cell r="N241">
            <v>1616.22</v>
          </cell>
        </row>
        <row r="242">
          <cell r="N242">
            <v>17.239999999999998</v>
          </cell>
        </row>
        <row r="243">
          <cell r="N243">
            <v>3078.35</v>
          </cell>
        </row>
        <row r="244">
          <cell r="N244">
            <v>438.2</v>
          </cell>
        </row>
        <row r="245">
          <cell r="N245">
            <v>289.32</v>
          </cell>
        </row>
        <row r="246">
          <cell r="N246">
            <v>635.54</v>
          </cell>
        </row>
        <row r="247">
          <cell r="N247">
            <v>223.3</v>
          </cell>
        </row>
        <row r="248">
          <cell r="N248">
            <v>684.22</v>
          </cell>
        </row>
        <row r="249">
          <cell r="N249">
            <v>441.8</v>
          </cell>
        </row>
        <row r="250">
          <cell r="N250">
            <v>670.54</v>
          </cell>
        </row>
        <row r="251">
          <cell r="N251">
            <v>546.19000000000005</v>
          </cell>
        </row>
        <row r="252">
          <cell r="N252">
            <v>128.85</v>
          </cell>
        </row>
        <row r="253">
          <cell r="N253">
            <v>58.76</v>
          </cell>
        </row>
        <row r="254">
          <cell r="N254">
            <v>2673.44</v>
          </cell>
        </row>
        <row r="255">
          <cell r="N255">
            <v>1654.96</v>
          </cell>
        </row>
        <row r="256">
          <cell r="N256">
            <v>789.57</v>
          </cell>
        </row>
        <row r="257">
          <cell r="N257">
            <v>263.95999999999998</v>
          </cell>
        </row>
        <row r="258">
          <cell r="N258">
            <v>379.05</v>
          </cell>
        </row>
        <row r="259">
          <cell r="N259">
            <v>406.22</v>
          </cell>
        </row>
        <row r="260">
          <cell r="N260">
            <v>206.82</v>
          </cell>
        </row>
        <row r="261">
          <cell r="N261">
            <v>1740.48</v>
          </cell>
        </row>
        <row r="262">
          <cell r="N262">
            <v>815.58</v>
          </cell>
        </row>
        <row r="263">
          <cell r="N263">
            <v>868.25</v>
          </cell>
        </row>
        <row r="264">
          <cell r="N264">
            <v>996.28</v>
          </cell>
        </row>
        <row r="265">
          <cell r="N265">
            <v>1739.4</v>
          </cell>
        </row>
        <row r="266">
          <cell r="N266">
            <v>436.77</v>
          </cell>
        </row>
        <row r="267">
          <cell r="N267">
            <v>572.13</v>
          </cell>
        </row>
        <row r="268">
          <cell r="N268">
            <v>2332.2800000000002</v>
          </cell>
        </row>
        <row r="269">
          <cell r="N269">
            <v>2342.5500000000002</v>
          </cell>
        </row>
        <row r="270">
          <cell r="N270">
            <v>847.76</v>
          </cell>
        </row>
        <row r="271">
          <cell r="N271">
            <v>2654.68</v>
          </cell>
        </row>
        <row r="272">
          <cell r="N272">
            <v>1239.6400000000001</v>
          </cell>
        </row>
        <row r="273">
          <cell r="N273">
            <v>542.07000000000005</v>
          </cell>
        </row>
        <row r="274">
          <cell r="N274">
            <v>798.64</v>
          </cell>
        </row>
        <row r="275">
          <cell r="N275">
            <v>476.5</v>
          </cell>
        </row>
        <row r="276">
          <cell r="N276">
            <v>364.8</v>
          </cell>
        </row>
        <row r="277">
          <cell r="N277">
            <v>130.13999999999999</v>
          </cell>
        </row>
        <row r="278">
          <cell r="N278">
            <v>1201.1400000000001</v>
          </cell>
        </row>
        <row r="279">
          <cell r="N279">
            <v>454.6</v>
          </cell>
        </row>
        <row r="280">
          <cell r="N280">
            <v>1812.3</v>
          </cell>
        </row>
        <row r="281">
          <cell r="N281">
            <v>165.03</v>
          </cell>
        </row>
        <row r="282">
          <cell r="N282">
            <v>1213.8599999999999</v>
          </cell>
        </row>
        <row r="283">
          <cell r="N283">
            <v>2619.16</v>
          </cell>
        </row>
        <row r="284">
          <cell r="N284">
            <v>2551.16</v>
          </cell>
        </row>
        <row r="285">
          <cell r="N285">
            <v>2161.3200000000002</v>
          </cell>
        </row>
        <row r="286">
          <cell r="N286">
            <v>1040.8499999999999</v>
          </cell>
        </row>
        <row r="287">
          <cell r="N287">
            <v>338.31</v>
          </cell>
        </row>
        <row r="288">
          <cell r="N288">
            <v>418.35</v>
          </cell>
        </row>
        <row r="289">
          <cell r="N289">
            <v>2620.7199999999998</v>
          </cell>
        </row>
        <row r="290">
          <cell r="N290">
            <v>2051</v>
          </cell>
        </row>
        <row r="291">
          <cell r="N291">
            <v>641.96</v>
          </cell>
        </row>
        <row r="292">
          <cell r="N292">
            <v>299.7</v>
          </cell>
        </row>
        <row r="293">
          <cell r="N293">
            <v>690.02</v>
          </cell>
        </row>
        <row r="294">
          <cell r="N294">
            <v>65.95</v>
          </cell>
        </row>
        <row r="295">
          <cell r="N295">
            <v>1852.16</v>
          </cell>
        </row>
        <row r="296">
          <cell r="N296">
            <v>595.41999999999996</v>
          </cell>
        </row>
        <row r="297">
          <cell r="N297">
            <v>537.4</v>
          </cell>
        </row>
        <row r="298">
          <cell r="N298">
            <v>3194</v>
          </cell>
        </row>
        <row r="299">
          <cell r="N299">
            <v>987.76</v>
          </cell>
        </row>
        <row r="300">
          <cell r="N300">
            <v>1204.68</v>
          </cell>
        </row>
        <row r="301">
          <cell r="N301">
            <v>278.66000000000003</v>
          </cell>
        </row>
        <row r="302">
          <cell r="N302">
            <v>287.45999999999998</v>
          </cell>
        </row>
        <row r="303">
          <cell r="N303">
            <v>583.99</v>
          </cell>
        </row>
        <row r="304">
          <cell r="N304">
            <v>1406.22</v>
          </cell>
        </row>
        <row r="305">
          <cell r="N305">
            <v>30.54</v>
          </cell>
        </row>
        <row r="306">
          <cell r="N306">
            <v>2043.65</v>
          </cell>
        </row>
        <row r="307">
          <cell r="N307">
            <v>507.56</v>
          </cell>
        </row>
        <row r="308">
          <cell r="N308">
            <v>114.14</v>
          </cell>
        </row>
        <row r="309">
          <cell r="N309">
            <v>1672.23</v>
          </cell>
        </row>
        <row r="310">
          <cell r="N310">
            <v>1346.7</v>
          </cell>
        </row>
        <row r="311">
          <cell r="N311">
            <v>2199.04</v>
          </cell>
        </row>
        <row r="312">
          <cell r="N312">
            <v>397.44</v>
          </cell>
        </row>
        <row r="313">
          <cell r="N313">
            <v>2446.85</v>
          </cell>
        </row>
        <row r="314">
          <cell r="N314">
            <v>331.55</v>
          </cell>
        </row>
        <row r="315">
          <cell r="N315">
            <v>868.6</v>
          </cell>
        </row>
        <row r="316">
          <cell r="N316">
            <v>612.36</v>
          </cell>
        </row>
        <row r="317">
          <cell r="N317">
            <v>458.35</v>
          </cell>
        </row>
        <row r="318">
          <cell r="N318">
            <v>1101.1199999999999</v>
          </cell>
        </row>
        <row r="319">
          <cell r="N319">
            <v>279.89999999999998</v>
          </cell>
        </row>
        <row r="320">
          <cell r="N320">
            <v>446.16</v>
          </cell>
        </row>
        <row r="321">
          <cell r="N321">
            <v>1126.1199999999999</v>
          </cell>
        </row>
        <row r="322">
          <cell r="N322">
            <v>625.51</v>
          </cell>
        </row>
        <row r="323">
          <cell r="N323">
            <v>609.16</v>
          </cell>
        </row>
        <row r="324">
          <cell r="N324">
            <v>1159.0999999999999</v>
          </cell>
        </row>
        <row r="325">
          <cell r="N325">
            <v>150.16999999999999</v>
          </cell>
        </row>
        <row r="326">
          <cell r="N326">
            <v>212.79</v>
          </cell>
        </row>
        <row r="327">
          <cell r="N327">
            <v>1084.17</v>
          </cell>
        </row>
        <row r="328">
          <cell r="N328">
            <v>3352.4</v>
          </cell>
        </row>
        <row r="329">
          <cell r="N329">
            <v>359.99</v>
          </cell>
        </row>
        <row r="330">
          <cell r="N330">
            <v>3370.2</v>
          </cell>
        </row>
        <row r="331">
          <cell r="N331">
            <v>1132.6400000000001</v>
          </cell>
        </row>
        <row r="332">
          <cell r="N332">
            <v>1302.6500000000001</v>
          </cell>
        </row>
        <row r="333">
          <cell r="N333">
            <v>1266.3900000000001</v>
          </cell>
        </row>
        <row r="334">
          <cell r="N334">
            <v>625.1</v>
          </cell>
        </row>
        <row r="335">
          <cell r="N335">
            <v>198.51</v>
          </cell>
        </row>
        <row r="336">
          <cell r="N336">
            <v>899</v>
          </cell>
        </row>
        <row r="337">
          <cell r="N337">
            <v>617.58000000000004</v>
          </cell>
        </row>
        <row r="338">
          <cell r="N338">
            <v>18.2</v>
          </cell>
        </row>
        <row r="339">
          <cell r="N339">
            <v>1508.31</v>
          </cell>
        </row>
        <row r="340">
          <cell r="N340">
            <v>1527.45</v>
          </cell>
        </row>
        <row r="341">
          <cell r="N341">
            <v>472.66</v>
          </cell>
        </row>
        <row r="342">
          <cell r="N342">
            <v>2606.25</v>
          </cell>
        </row>
        <row r="343">
          <cell r="N343">
            <v>167.15</v>
          </cell>
        </row>
        <row r="344">
          <cell r="N344">
            <v>2332.1</v>
          </cell>
        </row>
        <row r="345">
          <cell r="N345">
            <v>527.57000000000005</v>
          </cell>
        </row>
        <row r="346">
          <cell r="N346">
            <v>1870.02</v>
          </cell>
        </row>
        <row r="347">
          <cell r="N347">
            <v>2506.3000000000002</v>
          </cell>
        </row>
        <row r="348">
          <cell r="N348">
            <v>655.09</v>
          </cell>
        </row>
        <row r="349">
          <cell r="N349">
            <v>1059.1600000000001</v>
          </cell>
        </row>
        <row r="350">
          <cell r="N350">
            <v>1079.19</v>
          </cell>
        </row>
        <row r="351">
          <cell r="N351">
            <v>465.33</v>
          </cell>
        </row>
        <row r="352">
          <cell r="N352">
            <v>108.82</v>
          </cell>
        </row>
        <row r="353">
          <cell r="N353">
            <v>64.66</v>
          </cell>
        </row>
        <row r="354">
          <cell r="N354">
            <v>869.8</v>
          </cell>
        </row>
        <row r="355">
          <cell r="N355">
            <v>630.82000000000005</v>
          </cell>
        </row>
        <row r="356">
          <cell r="N356">
            <v>693.41</v>
          </cell>
        </row>
        <row r="357">
          <cell r="N357">
            <v>1299.99</v>
          </cell>
        </row>
        <row r="358">
          <cell r="N358">
            <v>1872.9</v>
          </cell>
        </row>
        <row r="359">
          <cell r="N359">
            <v>2042.8</v>
          </cell>
        </row>
        <row r="360">
          <cell r="N360">
            <v>367.34</v>
          </cell>
        </row>
        <row r="361">
          <cell r="N361">
            <v>2426.2800000000002</v>
          </cell>
        </row>
        <row r="362">
          <cell r="N362">
            <v>2358.2800000000002</v>
          </cell>
        </row>
        <row r="363">
          <cell r="N363">
            <v>3299.25</v>
          </cell>
        </row>
        <row r="364">
          <cell r="N364">
            <v>827.36</v>
          </cell>
        </row>
        <row r="365">
          <cell r="N365">
            <v>569.35</v>
          </cell>
        </row>
        <row r="366">
          <cell r="N366">
            <v>3143.7</v>
          </cell>
        </row>
        <row r="367">
          <cell r="N367">
            <v>678.38</v>
          </cell>
        </row>
        <row r="368">
          <cell r="N368">
            <v>1806.72</v>
          </cell>
        </row>
        <row r="369">
          <cell r="N369">
            <v>3293.85</v>
          </cell>
        </row>
        <row r="370">
          <cell r="N370">
            <v>813.06</v>
          </cell>
        </row>
        <row r="371">
          <cell r="N371">
            <v>1876.25</v>
          </cell>
        </row>
        <row r="372">
          <cell r="N372">
            <v>312.11</v>
          </cell>
        </row>
        <row r="373">
          <cell r="N373">
            <v>1538.8</v>
          </cell>
        </row>
        <row r="374">
          <cell r="N374">
            <v>1450.59</v>
          </cell>
        </row>
        <row r="375">
          <cell r="N375">
            <v>1023.45</v>
          </cell>
        </row>
        <row r="376">
          <cell r="N376">
            <v>571.9</v>
          </cell>
        </row>
        <row r="377">
          <cell r="N377">
            <v>380.12</v>
          </cell>
        </row>
        <row r="378">
          <cell r="N378">
            <v>1006.1</v>
          </cell>
        </row>
        <row r="379">
          <cell r="N379">
            <v>260.26</v>
          </cell>
        </row>
        <row r="380">
          <cell r="N380">
            <v>322.5</v>
          </cell>
        </row>
        <row r="381">
          <cell r="N381">
            <v>893.01</v>
          </cell>
        </row>
        <row r="382">
          <cell r="N382">
            <v>1327.6</v>
          </cell>
        </row>
        <row r="383">
          <cell r="N383">
            <v>191.76</v>
          </cell>
        </row>
        <row r="384">
          <cell r="N384">
            <v>1052.3599999999999</v>
          </cell>
        </row>
        <row r="385">
          <cell r="N385">
            <v>1575.2</v>
          </cell>
        </row>
        <row r="386">
          <cell r="N386">
            <v>1660.71</v>
          </cell>
        </row>
        <row r="387">
          <cell r="N387">
            <v>958.15</v>
          </cell>
        </row>
        <row r="388">
          <cell r="N388">
            <v>93.02</v>
          </cell>
        </row>
        <row r="389">
          <cell r="N389">
            <v>79.06</v>
          </cell>
        </row>
        <row r="390">
          <cell r="N390">
            <v>1901.91</v>
          </cell>
        </row>
        <row r="391">
          <cell r="N391">
            <v>2790</v>
          </cell>
        </row>
        <row r="392">
          <cell r="N392">
            <v>2543.4499999999998</v>
          </cell>
        </row>
        <row r="393">
          <cell r="N393">
            <v>1054.92</v>
          </cell>
        </row>
        <row r="394">
          <cell r="N394">
            <v>627.20000000000005</v>
          </cell>
        </row>
        <row r="395">
          <cell r="N395">
            <v>75.010000000000005</v>
          </cell>
        </row>
        <row r="396">
          <cell r="N396">
            <v>2647.75</v>
          </cell>
        </row>
        <row r="397">
          <cell r="N397">
            <v>382.23</v>
          </cell>
        </row>
        <row r="398">
          <cell r="N398">
            <v>1435.65</v>
          </cell>
        </row>
        <row r="399">
          <cell r="N399">
            <v>427.06</v>
          </cell>
        </row>
        <row r="400">
          <cell r="N400">
            <v>269.64999999999998</v>
          </cell>
        </row>
        <row r="401">
          <cell r="N401">
            <v>2119.65</v>
          </cell>
        </row>
        <row r="402">
          <cell r="N402">
            <v>640.88</v>
          </cell>
        </row>
        <row r="403">
          <cell r="N403">
            <v>538.67999999999995</v>
          </cell>
        </row>
        <row r="404">
          <cell r="N404">
            <v>1686.9</v>
          </cell>
        </row>
        <row r="405">
          <cell r="N405">
            <v>620.21</v>
          </cell>
        </row>
        <row r="406">
          <cell r="N406">
            <v>198.2</v>
          </cell>
        </row>
        <row r="407">
          <cell r="N407">
            <v>1807.88</v>
          </cell>
        </row>
        <row r="408">
          <cell r="N408">
            <v>264.39999999999998</v>
          </cell>
        </row>
        <row r="409">
          <cell r="N409">
            <v>2189.2800000000002</v>
          </cell>
        </row>
        <row r="410">
          <cell r="N410">
            <v>1237.5899999999999</v>
          </cell>
        </row>
        <row r="411">
          <cell r="N411">
            <v>420.65</v>
          </cell>
        </row>
        <row r="412">
          <cell r="N412">
            <v>1036.46</v>
          </cell>
        </row>
        <row r="413">
          <cell r="N413">
            <v>79.02</v>
          </cell>
        </row>
        <row r="414">
          <cell r="N414">
            <v>665.05</v>
          </cell>
        </row>
        <row r="415">
          <cell r="N415">
            <v>118.8</v>
          </cell>
        </row>
        <row r="416">
          <cell r="N416">
            <v>279.14</v>
          </cell>
        </row>
        <row r="417">
          <cell r="N417">
            <v>184.15</v>
          </cell>
        </row>
        <row r="418">
          <cell r="N418">
            <v>1288.0999999999999</v>
          </cell>
        </row>
        <row r="419">
          <cell r="N419">
            <v>277.05</v>
          </cell>
        </row>
        <row r="420">
          <cell r="N420">
            <v>310.93</v>
          </cell>
        </row>
        <row r="421">
          <cell r="N421">
            <v>433.32</v>
          </cell>
        </row>
        <row r="422">
          <cell r="N422">
            <v>452.7</v>
          </cell>
        </row>
        <row r="423">
          <cell r="N423">
            <v>576.41999999999996</v>
          </cell>
        </row>
        <row r="424">
          <cell r="N424">
            <v>826.4</v>
          </cell>
        </row>
        <row r="425">
          <cell r="N425">
            <v>2740.8</v>
          </cell>
        </row>
        <row r="426">
          <cell r="N426">
            <v>114.7</v>
          </cell>
        </row>
        <row r="427">
          <cell r="N427">
            <v>603.76</v>
          </cell>
        </row>
        <row r="428">
          <cell r="N428">
            <v>287.25</v>
          </cell>
        </row>
        <row r="429">
          <cell r="N429">
            <v>161.24</v>
          </cell>
        </row>
        <row r="430">
          <cell r="N430">
            <v>1050.32</v>
          </cell>
        </row>
        <row r="431">
          <cell r="N431">
            <v>2060.7600000000002</v>
          </cell>
        </row>
        <row r="432">
          <cell r="N432">
            <v>450.07</v>
          </cell>
        </row>
        <row r="433">
          <cell r="N433">
            <v>52.54</v>
          </cell>
        </row>
        <row r="434">
          <cell r="N434">
            <v>848.64</v>
          </cell>
        </row>
        <row r="435">
          <cell r="N435">
            <v>1894.92</v>
          </cell>
        </row>
        <row r="436">
          <cell r="N436">
            <v>1638.4</v>
          </cell>
        </row>
        <row r="437">
          <cell r="N437">
            <v>414.47</v>
          </cell>
        </row>
        <row r="438">
          <cell r="N438">
            <v>885.32</v>
          </cell>
        </row>
        <row r="439">
          <cell r="N439">
            <v>512.39</v>
          </cell>
        </row>
        <row r="440">
          <cell r="N440">
            <v>1378.02</v>
          </cell>
        </row>
        <row r="441">
          <cell r="N441">
            <v>146.32</v>
          </cell>
        </row>
        <row r="442">
          <cell r="N442">
            <v>334.4</v>
          </cell>
        </row>
        <row r="443">
          <cell r="N443">
            <v>657.08</v>
          </cell>
        </row>
        <row r="444">
          <cell r="N444">
            <v>1574.7</v>
          </cell>
        </row>
        <row r="445">
          <cell r="N445">
            <v>139.28</v>
          </cell>
        </row>
        <row r="446">
          <cell r="N446">
            <v>135.16999999999999</v>
          </cell>
        </row>
        <row r="447">
          <cell r="N447">
            <v>487.21</v>
          </cell>
        </row>
        <row r="448">
          <cell r="N448">
            <v>2547.9</v>
          </cell>
        </row>
        <row r="449">
          <cell r="N449">
            <v>833.62</v>
          </cell>
        </row>
        <row r="450">
          <cell r="N450">
            <v>320</v>
          </cell>
        </row>
        <row r="451">
          <cell r="N451">
            <v>759.15</v>
          </cell>
        </row>
        <row r="452">
          <cell r="N452">
            <v>3075.5</v>
          </cell>
        </row>
        <row r="453">
          <cell r="N453">
            <v>183.18</v>
          </cell>
        </row>
        <row r="454">
          <cell r="N454">
            <v>75.78</v>
          </cell>
        </row>
        <row r="455">
          <cell r="N455">
            <v>675.57</v>
          </cell>
        </row>
        <row r="456">
          <cell r="N456">
            <v>109.29</v>
          </cell>
        </row>
        <row r="457">
          <cell r="N457">
            <v>639.83000000000004</v>
          </cell>
        </row>
        <row r="458">
          <cell r="N458">
            <v>314.05</v>
          </cell>
        </row>
        <row r="459">
          <cell r="N459">
            <v>2463.3200000000002</v>
          </cell>
        </row>
        <row r="460">
          <cell r="N460">
            <v>2042.32</v>
          </cell>
        </row>
        <row r="461">
          <cell r="N461">
            <v>334.39</v>
          </cell>
        </row>
        <row r="462">
          <cell r="N462">
            <v>144.25</v>
          </cell>
        </row>
        <row r="463">
          <cell r="N463">
            <v>401.82</v>
          </cell>
        </row>
        <row r="464">
          <cell r="N464">
            <v>252.68</v>
          </cell>
        </row>
        <row r="465">
          <cell r="N465">
            <v>3313.9</v>
          </cell>
        </row>
        <row r="466">
          <cell r="N466">
            <v>1737.68</v>
          </cell>
        </row>
        <row r="467">
          <cell r="N467">
            <v>2567.4499999999998</v>
          </cell>
        </row>
        <row r="468">
          <cell r="N468">
            <v>432.47</v>
          </cell>
        </row>
        <row r="469">
          <cell r="N469">
            <v>45.94</v>
          </cell>
        </row>
        <row r="470">
          <cell r="N470">
            <v>418.36</v>
          </cell>
        </row>
        <row r="471">
          <cell r="N471">
            <v>3384.9</v>
          </cell>
        </row>
        <row r="472">
          <cell r="N472">
            <v>1054.48</v>
          </cell>
        </row>
        <row r="473">
          <cell r="N473">
            <v>2756.35</v>
          </cell>
        </row>
        <row r="474">
          <cell r="N474">
            <v>1524.36</v>
          </cell>
        </row>
        <row r="475">
          <cell r="N475">
            <v>29.86</v>
          </cell>
        </row>
        <row r="476">
          <cell r="N476">
            <v>688.02</v>
          </cell>
        </row>
        <row r="477">
          <cell r="N477">
            <v>877.24</v>
          </cell>
        </row>
        <row r="478">
          <cell r="N478">
            <v>1027.18</v>
          </cell>
        </row>
        <row r="479">
          <cell r="N479">
            <v>507.48</v>
          </cell>
        </row>
        <row r="480">
          <cell r="N480">
            <v>188.31</v>
          </cell>
        </row>
        <row r="481">
          <cell r="N481">
            <v>101.16</v>
          </cell>
        </row>
        <row r="482">
          <cell r="N482">
            <v>335.1</v>
          </cell>
        </row>
        <row r="483">
          <cell r="N483">
            <v>1939.4</v>
          </cell>
        </row>
        <row r="484">
          <cell r="N484">
            <v>1144.23</v>
          </cell>
        </row>
        <row r="485">
          <cell r="N485">
            <v>1739.6</v>
          </cell>
        </row>
        <row r="486">
          <cell r="N486">
            <v>60.04</v>
          </cell>
        </row>
        <row r="487">
          <cell r="N487">
            <v>1214.3699999999999</v>
          </cell>
        </row>
        <row r="488">
          <cell r="N488">
            <v>2445.04</v>
          </cell>
        </row>
        <row r="489">
          <cell r="N489">
            <v>1039.56</v>
          </cell>
        </row>
        <row r="490">
          <cell r="N490">
            <v>36.65</v>
          </cell>
        </row>
        <row r="491">
          <cell r="N491">
            <v>448.02</v>
          </cell>
        </row>
        <row r="492">
          <cell r="N492">
            <v>2339.0500000000002</v>
          </cell>
        </row>
        <row r="493">
          <cell r="N493">
            <v>2103.5</v>
          </cell>
        </row>
        <row r="494">
          <cell r="N494">
            <v>3032.6</v>
          </cell>
        </row>
        <row r="495">
          <cell r="N495">
            <v>420.26</v>
          </cell>
        </row>
        <row r="496">
          <cell r="N496">
            <v>1517.37</v>
          </cell>
        </row>
        <row r="497">
          <cell r="N497">
            <v>1974.92</v>
          </cell>
        </row>
        <row r="498">
          <cell r="N498">
            <v>603.63</v>
          </cell>
        </row>
        <row r="499">
          <cell r="N499">
            <v>336.87</v>
          </cell>
        </row>
        <row r="500">
          <cell r="N500">
            <v>530.24</v>
          </cell>
        </row>
        <row r="501">
          <cell r="N501">
            <v>1618.38</v>
          </cell>
        </row>
        <row r="502">
          <cell r="N502">
            <v>2542.9499999999998</v>
          </cell>
        </row>
        <row r="503">
          <cell r="N503">
            <v>813.84</v>
          </cell>
        </row>
        <row r="504">
          <cell r="N504">
            <v>1695.75</v>
          </cell>
        </row>
        <row r="505">
          <cell r="N505">
            <v>410.52</v>
          </cell>
        </row>
        <row r="506">
          <cell r="N506">
            <v>929</v>
          </cell>
        </row>
        <row r="507">
          <cell r="N507">
            <v>869.94</v>
          </cell>
        </row>
        <row r="508">
          <cell r="N508">
            <v>87.34</v>
          </cell>
        </row>
        <row r="509">
          <cell r="N509">
            <v>171.59</v>
          </cell>
        </row>
        <row r="510">
          <cell r="N510">
            <v>558.27</v>
          </cell>
        </row>
        <row r="511">
          <cell r="N511">
            <v>850.06</v>
          </cell>
        </row>
        <row r="512">
          <cell r="N512">
            <v>376.76</v>
          </cell>
        </row>
        <row r="513">
          <cell r="N513">
            <v>2876.2</v>
          </cell>
        </row>
        <row r="514">
          <cell r="N514">
            <v>1704.06</v>
          </cell>
        </row>
        <row r="515">
          <cell r="N515">
            <v>284.64</v>
          </cell>
        </row>
        <row r="516">
          <cell r="N516">
            <v>912.45</v>
          </cell>
        </row>
        <row r="517">
          <cell r="N517">
            <v>1660.56</v>
          </cell>
        </row>
        <row r="518">
          <cell r="N518">
            <v>500.97</v>
          </cell>
        </row>
        <row r="519">
          <cell r="N519">
            <v>793.4</v>
          </cell>
        </row>
        <row r="520">
          <cell r="N520">
            <v>1614.32</v>
          </cell>
        </row>
        <row r="521">
          <cell r="N521">
            <v>1857.16</v>
          </cell>
        </row>
        <row r="522">
          <cell r="N522">
            <v>1907.94</v>
          </cell>
        </row>
        <row r="523">
          <cell r="N523">
            <v>528.05999999999995</v>
          </cell>
        </row>
        <row r="524">
          <cell r="N524">
            <v>515.32000000000005</v>
          </cell>
        </row>
        <row r="525">
          <cell r="N525">
            <v>2631.16</v>
          </cell>
        </row>
        <row r="526">
          <cell r="N526">
            <v>153</v>
          </cell>
        </row>
        <row r="527">
          <cell r="N527">
            <v>668.48</v>
          </cell>
        </row>
        <row r="528">
          <cell r="N528">
            <v>93</v>
          </cell>
        </row>
        <row r="529">
          <cell r="N529">
            <v>3267.35</v>
          </cell>
        </row>
        <row r="530">
          <cell r="N530">
            <v>628.89</v>
          </cell>
        </row>
        <row r="531">
          <cell r="N531">
            <v>1350.2</v>
          </cell>
        </row>
        <row r="532">
          <cell r="N532">
            <v>357.64</v>
          </cell>
        </row>
        <row r="533">
          <cell r="N533">
            <v>1600.05</v>
          </cell>
        </row>
        <row r="534">
          <cell r="N534">
            <v>82</v>
          </cell>
        </row>
        <row r="535">
          <cell r="N535">
            <v>565.85</v>
          </cell>
        </row>
        <row r="536">
          <cell r="N536">
            <v>1945.77</v>
          </cell>
        </row>
        <row r="537">
          <cell r="N537">
            <v>204.36</v>
          </cell>
        </row>
        <row r="538">
          <cell r="N538">
            <v>616.1</v>
          </cell>
        </row>
        <row r="539">
          <cell r="N539">
            <v>742.41</v>
          </cell>
        </row>
        <row r="540">
          <cell r="N540">
            <v>1472.22</v>
          </cell>
        </row>
        <row r="541">
          <cell r="N541">
            <v>1595.16</v>
          </cell>
        </row>
        <row r="542">
          <cell r="N542">
            <v>3243.25</v>
          </cell>
        </row>
        <row r="543">
          <cell r="N543">
            <v>2280.3000000000002</v>
          </cell>
        </row>
        <row r="544">
          <cell r="N544">
            <v>17.98</v>
          </cell>
        </row>
        <row r="545">
          <cell r="N545">
            <v>1349.3</v>
          </cell>
        </row>
        <row r="546">
          <cell r="N546">
            <v>159.80000000000001</v>
          </cell>
        </row>
        <row r="547">
          <cell r="N547">
            <v>196.94</v>
          </cell>
        </row>
        <row r="548">
          <cell r="N548">
            <v>158.68</v>
          </cell>
        </row>
        <row r="549">
          <cell r="N549">
            <v>613.98</v>
          </cell>
        </row>
        <row r="550">
          <cell r="N550">
            <v>1278.3599999999999</v>
          </cell>
        </row>
        <row r="551">
          <cell r="N551">
            <v>2519.52</v>
          </cell>
        </row>
        <row r="552">
          <cell r="N552">
            <v>915.64</v>
          </cell>
        </row>
        <row r="553">
          <cell r="N553">
            <v>120.98</v>
          </cell>
        </row>
        <row r="554">
          <cell r="N554">
            <v>1700.72</v>
          </cell>
        </row>
        <row r="555">
          <cell r="N555">
            <v>667.66</v>
          </cell>
        </row>
        <row r="556">
          <cell r="N556">
            <v>985.8</v>
          </cell>
        </row>
        <row r="557">
          <cell r="N557">
            <v>92.04</v>
          </cell>
        </row>
        <row r="558">
          <cell r="N558">
            <v>654.27</v>
          </cell>
        </row>
        <row r="559">
          <cell r="N559">
            <v>56.2</v>
          </cell>
        </row>
        <row r="560">
          <cell r="N560">
            <v>2512.48</v>
          </cell>
        </row>
        <row r="561">
          <cell r="N561">
            <v>472.2</v>
          </cell>
        </row>
        <row r="562">
          <cell r="N562">
            <v>2355.4</v>
          </cell>
        </row>
        <row r="563">
          <cell r="N563">
            <v>989.56</v>
          </cell>
        </row>
        <row r="564">
          <cell r="N564">
            <v>1991.79</v>
          </cell>
        </row>
        <row r="565">
          <cell r="N565">
            <v>132.68</v>
          </cell>
        </row>
        <row r="566">
          <cell r="N566">
            <v>1821.4</v>
          </cell>
        </row>
        <row r="567">
          <cell r="N567">
            <v>1539.9</v>
          </cell>
        </row>
        <row r="568">
          <cell r="N568">
            <v>650.84</v>
          </cell>
        </row>
        <row r="569">
          <cell r="N569">
            <v>2464.6999999999998</v>
          </cell>
        </row>
        <row r="570">
          <cell r="N570">
            <v>687.98</v>
          </cell>
        </row>
        <row r="571">
          <cell r="N571">
            <v>1253.4000000000001</v>
          </cell>
        </row>
        <row r="572">
          <cell r="N572">
            <v>724.28</v>
          </cell>
        </row>
        <row r="573">
          <cell r="N573">
            <v>214.08</v>
          </cell>
        </row>
        <row r="574">
          <cell r="N574">
            <v>70.319999999999993</v>
          </cell>
        </row>
        <row r="575">
          <cell r="N575">
            <v>2107.1</v>
          </cell>
        </row>
        <row r="576">
          <cell r="N576">
            <v>1923.45</v>
          </cell>
        </row>
        <row r="577">
          <cell r="N577">
            <v>2240.75</v>
          </cell>
        </row>
        <row r="578">
          <cell r="N578">
            <v>395.4</v>
          </cell>
        </row>
        <row r="579">
          <cell r="N579">
            <v>741.64</v>
          </cell>
        </row>
        <row r="580">
          <cell r="N580">
            <v>2830.35</v>
          </cell>
        </row>
        <row r="581">
          <cell r="N581">
            <v>375.76</v>
          </cell>
        </row>
        <row r="582">
          <cell r="N582">
            <v>511.98</v>
          </cell>
        </row>
        <row r="583">
          <cell r="N583">
            <v>627.34</v>
          </cell>
        </row>
        <row r="584">
          <cell r="N584">
            <v>1422.42</v>
          </cell>
        </row>
        <row r="585">
          <cell r="N585">
            <v>463.11</v>
          </cell>
        </row>
        <row r="586">
          <cell r="N586">
            <v>580.20000000000005</v>
          </cell>
        </row>
        <row r="587">
          <cell r="N587">
            <v>268.32</v>
          </cell>
        </row>
        <row r="588">
          <cell r="N588">
            <v>522.08000000000004</v>
          </cell>
        </row>
        <row r="589">
          <cell r="N589">
            <v>2573</v>
          </cell>
        </row>
        <row r="590">
          <cell r="N590">
            <v>2311.2800000000002</v>
          </cell>
        </row>
        <row r="591">
          <cell r="N591">
            <v>1001.6</v>
          </cell>
        </row>
        <row r="592">
          <cell r="N592">
            <v>922.26</v>
          </cell>
        </row>
        <row r="593">
          <cell r="N593">
            <v>605.28</v>
          </cell>
        </row>
        <row r="594">
          <cell r="N594">
            <v>612.80999999999995</v>
          </cell>
        </row>
        <row r="595">
          <cell r="N595">
            <v>489.8</v>
          </cell>
        </row>
        <row r="596">
          <cell r="N596">
            <v>363.2</v>
          </cell>
        </row>
        <row r="597">
          <cell r="N597">
            <v>770.32</v>
          </cell>
        </row>
        <row r="598">
          <cell r="N598">
            <v>1819.23</v>
          </cell>
        </row>
        <row r="599">
          <cell r="N599">
            <v>423.64</v>
          </cell>
        </row>
        <row r="600">
          <cell r="N600">
            <v>2476.75</v>
          </cell>
        </row>
        <row r="601">
          <cell r="N601">
            <v>1670.97</v>
          </cell>
        </row>
        <row r="602">
          <cell r="N602">
            <v>72.31</v>
          </cell>
        </row>
        <row r="603">
          <cell r="N603">
            <v>124.1</v>
          </cell>
        </row>
        <row r="604">
          <cell r="N604">
            <v>104.16</v>
          </cell>
        </row>
        <row r="605">
          <cell r="N605">
            <v>657.07</v>
          </cell>
        </row>
        <row r="606">
          <cell r="N606">
            <v>97.86</v>
          </cell>
        </row>
        <row r="607">
          <cell r="N607">
            <v>457.82</v>
          </cell>
        </row>
        <row r="608">
          <cell r="N608">
            <v>824.25</v>
          </cell>
        </row>
        <row r="609">
          <cell r="N609">
            <v>2536.1999999999998</v>
          </cell>
        </row>
        <row r="610">
          <cell r="N610">
            <v>2715.8</v>
          </cell>
        </row>
        <row r="611">
          <cell r="N611">
            <v>1347.39</v>
          </cell>
        </row>
        <row r="612">
          <cell r="N612">
            <v>1948.1</v>
          </cell>
        </row>
        <row r="613">
          <cell r="N613">
            <v>305.17</v>
          </cell>
        </row>
        <row r="614">
          <cell r="N614">
            <v>1335.36</v>
          </cell>
        </row>
        <row r="615">
          <cell r="N615">
            <v>460.72</v>
          </cell>
        </row>
        <row r="616">
          <cell r="N616">
            <v>96.81</v>
          </cell>
        </row>
        <row r="617">
          <cell r="N617">
            <v>2300.6999999999998</v>
          </cell>
        </row>
        <row r="618">
          <cell r="N618">
            <v>1804.8</v>
          </cell>
        </row>
        <row r="619">
          <cell r="N619">
            <v>553.41</v>
          </cell>
        </row>
        <row r="620">
          <cell r="N620">
            <v>411.34</v>
          </cell>
        </row>
        <row r="621">
          <cell r="N621">
            <v>532.89</v>
          </cell>
        </row>
        <row r="622">
          <cell r="N622">
            <v>409.02</v>
          </cell>
        </row>
        <row r="623">
          <cell r="N623">
            <v>2380.0500000000002</v>
          </cell>
        </row>
        <row r="624">
          <cell r="N624">
            <v>1181.9000000000001</v>
          </cell>
        </row>
        <row r="625">
          <cell r="N625">
            <v>1188</v>
          </cell>
        </row>
        <row r="626">
          <cell r="N626">
            <v>1709.8</v>
          </cell>
        </row>
        <row r="627">
          <cell r="N627">
            <v>672.89</v>
          </cell>
        </row>
        <row r="628">
          <cell r="N628">
            <v>1314.96</v>
          </cell>
        </row>
        <row r="629">
          <cell r="N629">
            <v>1496.04</v>
          </cell>
        </row>
        <row r="630">
          <cell r="N630">
            <v>2793.15</v>
          </cell>
        </row>
        <row r="631">
          <cell r="N631">
            <v>59.19</v>
          </cell>
        </row>
        <row r="632">
          <cell r="N632">
            <v>1244.2</v>
          </cell>
        </row>
        <row r="633">
          <cell r="N633">
            <v>138.33000000000001</v>
          </cell>
        </row>
        <row r="634">
          <cell r="N634">
            <v>3390.8</v>
          </cell>
        </row>
        <row r="635">
          <cell r="N635">
            <v>3008.6</v>
          </cell>
        </row>
        <row r="636">
          <cell r="N636">
            <v>518.64</v>
          </cell>
        </row>
        <row r="637">
          <cell r="N637">
            <v>191.04</v>
          </cell>
        </row>
        <row r="638">
          <cell r="N638">
            <v>1484.28</v>
          </cell>
        </row>
        <row r="639">
          <cell r="N639">
            <v>1225.4000000000001</v>
          </cell>
        </row>
        <row r="640">
          <cell r="N640">
            <v>2313.08</v>
          </cell>
        </row>
        <row r="641">
          <cell r="N641">
            <v>529.19000000000005</v>
          </cell>
        </row>
        <row r="642">
          <cell r="N642">
            <v>1174.98</v>
          </cell>
        </row>
        <row r="643">
          <cell r="N643">
            <v>2270.2800000000002</v>
          </cell>
        </row>
        <row r="644">
          <cell r="N644">
            <v>426.1</v>
          </cell>
        </row>
        <row r="645">
          <cell r="N645">
            <v>438.37</v>
          </cell>
        </row>
        <row r="646">
          <cell r="N646">
            <v>732.46</v>
          </cell>
        </row>
        <row r="647">
          <cell r="N647">
            <v>300.10000000000002</v>
          </cell>
        </row>
        <row r="648">
          <cell r="N648">
            <v>1994.04</v>
          </cell>
        </row>
        <row r="649">
          <cell r="N649">
            <v>1018.17</v>
          </cell>
        </row>
        <row r="650">
          <cell r="N650">
            <v>1151.6600000000001</v>
          </cell>
        </row>
        <row r="651">
          <cell r="N651">
            <v>1285.96</v>
          </cell>
        </row>
        <row r="652">
          <cell r="N652">
            <v>744.46</v>
          </cell>
        </row>
        <row r="653">
          <cell r="N653">
            <v>1939.02</v>
          </cell>
        </row>
        <row r="654">
          <cell r="N654">
            <v>1709.2</v>
          </cell>
        </row>
        <row r="655">
          <cell r="N655">
            <v>2070.9</v>
          </cell>
        </row>
        <row r="656">
          <cell r="N656">
            <v>1147.1099999999999</v>
          </cell>
        </row>
        <row r="657">
          <cell r="N657">
            <v>265.2</v>
          </cell>
        </row>
        <row r="658">
          <cell r="N658">
            <v>378.12</v>
          </cell>
        </row>
        <row r="659">
          <cell r="N659">
            <v>351.16</v>
          </cell>
        </row>
        <row r="660">
          <cell r="N660">
            <v>92.72</v>
          </cell>
        </row>
        <row r="661">
          <cell r="N661">
            <v>1284.08</v>
          </cell>
        </row>
        <row r="662">
          <cell r="N662">
            <v>1303.1400000000001</v>
          </cell>
        </row>
        <row r="663">
          <cell r="N663">
            <v>1274.67</v>
          </cell>
        </row>
        <row r="664">
          <cell r="N664">
            <v>1316.67</v>
          </cell>
        </row>
        <row r="665">
          <cell r="N665">
            <v>72.599999999999994</v>
          </cell>
        </row>
        <row r="666">
          <cell r="N666">
            <v>779</v>
          </cell>
        </row>
        <row r="667">
          <cell r="N667">
            <v>925.04</v>
          </cell>
        </row>
        <row r="668">
          <cell r="N668">
            <v>1308.48</v>
          </cell>
        </row>
        <row r="669">
          <cell r="N669">
            <v>466.42</v>
          </cell>
        </row>
        <row r="670">
          <cell r="N670">
            <v>507.34</v>
          </cell>
        </row>
        <row r="671">
          <cell r="N671">
            <v>257</v>
          </cell>
        </row>
        <row r="672">
          <cell r="N672">
            <v>2156.8000000000002</v>
          </cell>
        </row>
        <row r="673">
          <cell r="N673">
            <v>253.7</v>
          </cell>
        </row>
        <row r="674">
          <cell r="N674">
            <v>1248.32</v>
          </cell>
        </row>
        <row r="675">
          <cell r="N675">
            <v>745.84</v>
          </cell>
        </row>
        <row r="676">
          <cell r="N676">
            <v>1435</v>
          </cell>
        </row>
        <row r="677">
          <cell r="N677">
            <v>1026.06</v>
          </cell>
        </row>
        <row r="678">
          <cell r="N678">
            <v>844.68</v>
          </cell>
        </row>
        <row r="679">
          <cell r="N679">
            <v>110.35</v>
          </cell>
        </row>
        <row r="680">
          <cell r="N680">
            <v>489.39</v>
          </cell>
        </row>
        <row r="681">
          <cell r="N681">
            <v>1081.98</v>
          </cell>
        </row>
        <row r="682">
          <cell r="N682">
            <v>1390.17</v>
          </cell>
        </row>
        <row r="683">
          <cell r="N683">
            <v>155.27000000000001</v>
          </cell>
        </row>
        <row r="684">
          <cell r="N684">
            <v>1528.26</v>
          </cell>
        </row>
        <row r="685">
          <cell r="N685">
            <v>2609.92</v>
          </cell>
        </row>
        <row r="686">
          <cell r="N686">
            <v>139.36000000000001</v>
          </cell>
        </row>
        <row r="687">
          <cell r="N687">
            <v>234.37</v>
          </cell>
        </row>
        <row r="688">
          <cell r="N688">
            <v>160.80000000000001</v>
          </cell>
        </row>
        <row r="689">
          <cell r="N689">
            <v>332.09</v>
          </cell>
        </row>
        <row r="690">
          <cell r="N690">
            <v>2372.88</v>
          </cell>
        </row>
        <row r="691">
          <cell r="N691">
            <v>889.68</v>
          </cell>
        </row>
        <row r="692">
          <cell r="N692">
            <v>24.48</v>
          </cell>
        </row>
        <row r="693">
          <cell r="N693">
            <v>717.24</v>
          </cell>
        </row>
        <row r="694">
          <cell r="N694">
            <v>984.2</v>
          </cell>
        </row>
        <row r="695">
          <cell r="N695">
            <v>176.58</v>
          </cell>
        </row>
        <row r="696">
          <cell r="N696">
            <v>2666.08</v>
          </cell>
        </row>
        <row r="697">
          <cell r="N697">
            <v>506.5</v>
          </cell>
        </row>
        <row r="698">
          <cell r="N698">
            <v>604.79999999999995</v>
          </cell>
        </row>
        <row r="699">
          <cell r="N699">
            <v>474.25</v>
          </cell>
        </row>
        <row r="700">
          <cell r="N700">
            <v>776.44</v>
          </cell>
        </row>
        <row r="701">
          <cell r="N701">
            <v>1842.45</v>
          </cell>
        </row>
        <row r="702">
          <cell r="N702">
            <v>185.82</v>
          </cell>
        </row>
        <row r="703">
          <cell r="N703">
            <v>276.66000000000003</v>
          </cell>
        </row>
        <row r="704">
          <cell r="N704">
            <v>1687.65</v>
          </cell>
        </row>
        <row r="705">
          <cell r="N705">
            <v>92.79</v>
          </cell>
        </row>
        <row r="706">
          <cell r="N706">
            <v>121.08</v>
          </cell>
        </row>
        <row r="707">
          <cell r="N707">
            <v>98.16</v>
          </cell>
        </row>
        <row r="708">
          <cell r="N708">
            <v>1140.45</v>
          </cell>
        </row>
        <row r="709">
          <cell r="N709">
            <v>2600.16</v>
          </cell>
        </row>
        <row r="710">
          <cell r="N710">
            <v>665.11</v>
          </cell>
        </row>
        <row r="711">
          <cell r="N711">
            <v>386.03</v>
          </cell>
        </row>
        <row r="712">
          <cell r="N712">
            <v>107.7</v>
          </cell>
        </row>
        <row r="713">
          <cell r="N713">
            <v>951.56</v>
          </cell>
        </row>
        <row r="714">
          <cell r="N714">
            <v>136.80000000000001</v>
          </cell>
        </row>
        <row r="715">
          <cell r="N715">
            <v>2129.96</v>
          </cell>
        </row>
        <row r="716">
          <cell r="N716">
            <v>51.73</v>
          </cell>
        </row>
        <row r="717">
          <cell r="N717">
            <v>1960.89</v>
          </cell>
        </row>
        <row r="718">
          <cell r="N718">
            <v>1362.87</v>
          </cell>
        </row>
        <row r="719">
          <cell r="N719">
            <v>366.33</v>
          </cell>
        </row>
        <row r="720">
          <cell r="N720">
            <v>258.95999999999998</v>
          </cell>
        </row>
        <row r="721">
          <cell r="N721">
            <v>1362.12</v>
          </cell>
        </row>
        <row r="722">
          <cell r="N722">
            <v>644.75</v>
          </cell>
        </row>
        <row r="723">
          <cell r="N723">
            <v>237.18</v>
          </cell>
        </row>
        <row r="724">
          <cell r="N724">
            <v>95.1</v>
          </cell>
        </row>
        <row r="725">
          <cell r="N725">
            <v>164.85</v>
          </cell>
        </row>
        <row r="726">
          <cell r="N726">
            <v>410.91</v>
          </cell>
        </row>
        <row r="727">
          <cell r="N727">
            <v>389.7</v>
          </cell>
        </row>
        <row r="728">
          <cell r="N728">
            <v>2332.08</v>
          </cell>
        </row>
        <row r="729">
          <cell r="N729">
            <v>478.75</v>
          </cell>
        </row>
        <row r="730">
          <cell r="N730">
            <v>1303.04</v>
          </cell>
        </row>
        <row r="731">
          <cell r="N731">
            <v>745.64</v>
          </cell>
        </row>
        <row r="732">
          <cell r="N732">
            <v>474.6</v>
          </cell>
        </row>
        <row r="733">
          <cell r="N733">
            <v>2922.3</v>
          </cell>
        </row>
        <row r="734">
          <cell r="N734">
            <v>132.05000000000001</v>
          </cell>
        </row>
        <row r="735">
          <cell r="N735">
            <v>1979.36</v>
          </cell>
        </row>
        <row r="736">
          <cell r="N736">
            <v>898.44</v>
          </cell>
        </row>
        <row r="737">
          <cell r="N737">
            <v>176.28</v>
          </cell>
        </row>
        <row r="738">
          <cell r="N738">
            <v>2092.65</v>
          </cell>
        </row>
        <row r="739">
          <cell r="N739">
            <v>2131.48</v>
          </cell>
        </row>
        <row r="740">
          <cell r="N740">
            <v>970.74</v>
          </cell>
        </row>
        <row r="741">
          <cell r="N741">
            <v>1546.92</v>
          </cell>
        </row>
        <row r="742">
          <cell r="N742">
            <v>754.94</v>
          </cell>
        </row>
        <row r="743">
          <cell r="N743">
            <v>1663.2</v>
          </cell>
        </row>
        <row r="744">
          <cell r="N744">
            <v>2099.79</v>
          </cell>
        </row>
        <row r="745">
          <cell r="N745">
            <v>576.35</v>
          </cell>
        </row>
        <row r="746">
          <cell r="N746">
            <v>922.74</v>
          </cell>
        </row>
        <row r="747">
          <cell r="N747">
            <v>445.2</v>
          </cell>
        </row>
        <row r="748">
          <cell r="N748">
            <v>1985.67</v>
          </cell>
        </row>
        <row r="749">
          <cell r="N749">
            <v>519.16</v>
          </cell>
        </row>
        <row r="750">
          <cell r="N750">
            <v>212.43</v>
          </cell>
        </row>
        <row r="751">
          <cell r="N751">
            <v>518.39</v>
          </cell>
        </row>
        <row r="752">
          <cell r="N752">
            <v>581.64</v>
          </cell>
        </row>
        <row r="753">
          <cell r="N753">
            <v>1199.72</v>
          </cell>
        </row>
        <row r="754">
          <cell r="N754">
            <v>1717.48</v>
          </cell>
        </row>
        <row r="755">
          <cell r="N755">
            <v>482.98</v>
          </cell>
        </row>
        <row r="756">
          <cell r="N756">
            <v>904.1</v>
          </cell>
        </row>
        <row r="757">
          <cell r="N757">
            <v>1010.13</v>
          </cell>
        </row>
        <row r="758">
          <cell r="N758">
            <v>283.69</v>
          </cell>
        </row>
        <row r="759">
          <cell r="N759">
            <v>157.72</v>
          </cell>
        </row>
        <row r="760">
          <cell r="N760">
            <v>1874.52</v>
          </cell>
        </row>
        <row r="761">
          <cell r="N761">
            <v>924.03</v>
          </cell>
        </row>
        <row r="762">
          <cell r="N762">
            <v>39.56</v>
          </cell>
        </row>
        <row r="763">
          <cell r="N763">
            <v>151.04</v>
          </cell>
        </row>
        <row r="764">
          <cell r="N764">
            <v>230.88</v>
          </cell>
        </row>
        <row r="765">
          <cell r="N765">
            <v>569.96</v>
          </cell>
        </row>
        <row r="766">
          <cell r="N766">
            <v>3137.15</v>
          </cell>
        </row>
        <row r="767">
          <cell r="N767">
            <v>1069.82</v>
          </cell>
        </row>
        <row r="768">
          <cell r="N768">
            <v>557.76</v>
          </cell>
        </row>
        <row r="769">
          <cell r="N769">
            <v>646.44000000000005</v>
          </cell>
        </row>
        <row r="770">
          <cell r="N770">
            <v>3267.3</v>
          </cell>
        </row>
        <row r="771">
          <cell r="N771">
            <v>2714.2</v>
          </cell>
        </row>
        <row r="772">
          <cell r="N772">
            <v>314.38</v>
          </cell>
        </row>
        <row r="773">
          <cell r="N773">
            <v>2077.3200000000002</v>
          </cell>
        </row>
        <row r="774">
          <cell r="N774">
            <v>604.87</v>
          </cell>
        </row>
        <row r="775">
          <cell r="N775">
            <v>1024.6600000000001</v>
          </cell>
        </row>
        <row r="776">
          <cell r="N776">
            <v>61.62</v>
          </cell>
        </row>
        <row r="777">
          <cell r="N777">
            <v>1250.44</v>
          </cell>
        </row>
        <row r="778">
          <cell r="N778">
            <v>21.19</v>
          </cell>
        </row>
        <row r="779">
          <cell r="N779">
            <v>322.45</v>
          </cell>
        </row>
        <row r="780">
          <cell r="N780">
            <v>987.4</v>
          </cell>
        </row>
        <row r="781">
          <cell r="N781">
            <v>1766.22</v>
          </cell>
        </row>
        <row r="782">
          <cell r="N782">
            <v>737.92</v>
          </cell>
        </row>
        <row r="783">
          <cell r="N783">
            <v>2621.3000000000002</v>
          </cell>
        </row>
        <row r="784">
          <cell r="N784">
            <v>987.26</v>
          </cell>
        </row>
        <row r="785">
          <cell r="N785">
            <v>438.34</v>
          </cell>
        </row>
        <row r="786">
          <cell r="N786">
            <v>325.81</v>
          </cell>
        </row>
        <row r="787">
          <cell r="N787">
            <v>176.1</v>
          </cell>
        </row>
        <row r="788">
          <cell r="N788">
            <v>226.55</v>
          </cell>
        </row>
        <row r="789">
          <cell r="N789">
            <v>887.84</v>
          </cell>
        </row>
        <row r="790">
          <cell r="N790">
            <v>1202.8599999999999</v>
          </cell>
        </row>
        <row r="791">
          <cell r="N791">
            <v>3456.4</v>
          </cell>
        </row>
        <row r="792">
          <cell r="N792">
            <v>1671.56</v>
          </cell>
        </row>
        <row r="793">
          <cell r="N793">
            <v>1637.12</v>
          </cell>
        </row>
        <row r="794">
          <cell r="N794">
            <v>712.7</v>
          </cell>
        </row>
        <row r="795">
          <cell r="N795">
            <v>851.1</v>
          </cell>
        </row>
        <row r="796">
          <cell r="N796">
            <v>1539.4</v>
          </cell>
        </row>
        <row r="797">
          <cell r="N797">
            <v>463.08</v>
          </cell>
        </row>
        <row r="798">
          <cell r="N798">
            <v>1738.65</v>
          </cell>
        </row>
        <row r="799">
          <cell r="N799">
            <v>877.52</v>
          </cell>
        </row>
        <row r="800">
          <cell r="N800">
            <v>2441.75</v>
          </cell>
        </row>
        <row r="801">
          <cell r="N801">
            <v>1314.24</v>
          </cell>
        </row>
        <row r="802">
          <cell r="N802">
            <v>68.39</v>
          </cell>
        </row>
        <row r="803">
          <cell r="N803">
            <v>2382.48</v>
          </cell>
        </row>
        <row r="804">
          <cell r="N804">
            <v>3223.2</v>
          </cell>
        </row>
        <row r="805">
          <cell r="N805">
            <v>1989.05</v>
          </cell>
        </row>
        <row r="806">
          <cell r="N806">
            <v>709.5</v>
          </cell>
        </row>
        <row r="807">
          <cell r="N807">
            <v>2360.0500000000002</v>
          </cell>
        </row>
        <row r="808">
          <cell r="N808">
            <v>1268.75</v>
          </cell>
        </row>
        <row r="809">
          <cell r="N809">
            <v>2028.63</v>
          </cell>
        </row>
        <row r="810">
          <cell r="N810">
            <v>402.15</v>
          </cell>
        </row>
        <row r="811">
          <cell r="N811">
            <v>1087.1500000000001</v>
          </cell>
        </row>
        <row r="812">
          <cell r="N812">
            <v>553.55999999999995</v>
          </cell>
        </row>
        <row r="813">
          <cell r="N813">
            <v>57.1</v>
          </cell>
        </row>
        <row r="814">
          <cell r="N814">
            <v>510.52</v>
          </cell>
        </row>
        <row r="815">
          <cell r="N815">
            <v>1462.7</v>
          </cell>
        </row>
        <row r="816">
          <cell r="N816">
            <v>590.04</v>
          </cell>
        </row>
        <row r="817">
          <cell r="N817">
            <v>1709.52</v>
          </cell>
        </row>
        <row r="818">
          <cell r="N818">
            <v>2873.95</v>
          </cell>
        </row>
        <row r="819">
          <cell r="N819">
            <v>2392.7600000000002</v>
          </cell>
        </row>
        <row r="820">
          <cell r="N820">
            <v>1563.36</v>
          </cell>
        </row>
        <row r="821">
          <cell r="N821">
            <v>796.9</v>
          </cell>
        </row>
        <row r="822">
          <cell r="N822">
            <v>3119.05</v>
          </cell>
        </row>
        <row r="823">
          <cell r="N823">
            <v>697.96</v>
          </cell>
        </row>
        <row r="824">
          <cell r="N824">
            <v>479.56</v>
          </cell>
        </row>
        <row r="825">
          <cell r="N825">
            <v>2612.52</v>
          </cell>
        </row>
        <row r="826">
          <cell r="N826">
            <v>1443.3</v>
          </cell>
        </row>
        <row r="827">
          <cell r="N827">
            <v>1358.45</v>
          </cell>
        </row>
        <row r="828">
          <cell r="N828">
            <v>1391.43</v>
          </cell>
        </row>
        <row r="829">
          <cell r="N829">
            <v>1279.76</v>
          </cell>
        </row>
        <row r="830">
          <cell r="N830">
            <v>1618.32</v>
          </cell>
        </row>
        <row r="831">
          <cell r="N831">
            <v>76.930000000000007</v>
          </cell>
        </row>
        <row r="832">
          <cell r="N832">
            <v>762.56</v>
          </cell>
        </row>
        <row r="833">
          <cell r="N833">
            <v>177.46</v>
          </cell>
        </row>
        <row r="834">
          <cell r="N834">
            <v>2428.5500000000002</v>
          </cell>
        </row>
        <row r="835">
          <cell r="N835">
            <v>391.45</v>
          </cell>
        </row>
        <row r="836">
          <cell r="N836">
            <v>110.7</v>
          </cell>
        </row>
        <row r="837">
          <cell r="N837">
            <v>679.65</v>
          </cell>
        </row>
        <row r="838">
          <cell r="N838">
            <v>178.44</v>
          </cell>
        </row>
        <row r="839">
          <cell r="N839">
            <v>3277.75</v>
          </cell>
        </row>
        <row r="840">
          <cell r="N840">
            <v>2308.3200000000002</v>
          </cell>
        </row>
        <row r="841">
          <cell r="N841">
            <v>593.91</v>
          </cell>
        </row>
        <row r="842">
          <cell r="N842">
            <v>1235.8499999999999</v>
          </cell>
        </row>
        <row r="843">
          <cell r="N843">
            <v>886.44</v>
          </cell>
        </row>
        <row r="844">
          <cell r="N844">
            <v>1092.42</v>
          </cell>
        </row>
        <row r="845">
          <cell r="N845">
            <v>1290.18</v>
          </cell>
        </row>
        <row r="846">
          <cell r="N846">
            <v>320.92</v>
          </cell>
        </row>
        <row r="847">
          <cell r="N847">
            <v>322.08</v>
          </cell>
        </row>
        <row r="848">
          <cell r="N848">
            <v>719.72</v>
          </cell>
        </row>
        <row r="849">
          <cell r="N849">
            <v>1736.92</v>
          </cell>
        </row>
        <row r="850">
          <cell r="N850">
            <v>1291.7</v>
          </cell>
        </row>
        <row r="851">
          <cell r="N851">
            <v>857.4</v>
          </cell>
        </row>
        <row r="852">
          <cell r="N852">
            <v>1915.5</v>
          </cell>
        </row>
        <row r="853">
          <cell r="N853">
            <v>365.57</v>
          </cell>
        </row>
        <row r="854">
          <cell r="N854">
            <v>1704.15</v>
          </cell>
        </row>
        <row r="855">
          <cell r="N855">
            <v>1470.03</v>
          </cell>
        </row>
        <row r="856">
          <cell r="N856">
            <v>1117.8</v>
          </cell>
        </row>
        <row r="857">
          <cell r="N857">
            <v>1203.05</v>
          </cell>
        </row>
        <row r="858">
          <cell r="N858">
            <v>586.62</v>
          </cell>
        </row>
        <row r="859">
          <cell r="N859">
            <v>773.52</v>
          </cell>
        </row>
        <row r="860">
          <cell r="N860">
            <v>2178.3000000000002</v>
          </cell>
        </row>
        <row r="861">
          <cell r="N861">
            <v>1306.6500000000001</v>
          </cell>
        </row>
        <row r="862">
          <cell r="N862">
            <v>422.54</v>
          </cell>
        </row>
        <row r="863">
          <cell r="N863">
            <v>1652.25</v>
          </cell>
        </row>
        <row r="864">
          <cell r="N864">
            <v>362.46</v>
          </cell>
        </row>
        <row r="865">
          <cell r="N865">
            <v>14.06</v>
          </cell>
        </row>
        <row r="866">
          <cell r="N866">
            <v>491.11</v>
          </cell>
        </row>
        <row r="867">
          <cell r="N867">
            <v>2709.48</v>
          </cell>
        </row>
        <row r="868">
          <cell r="N868">
            <v>946.25</v>
          </cell>
        </row>
        <row r="869">
          <cell r="N869">
            <v>570.32000000000005</v>
          </cell>
        </row>
        <row r="870">
          <cell r="N870">
            <v>1265.28</v>
          </cell>
        </row>
        <row r="871">
          <cell r="N871">
            <v>1067.9000000000001</v>
          </cell>
        </row>
        <row r="872">
          <cell r="N872">
            <v>1880.36</v>
          </cell>
        </row>
        <row r="873">
          <cell r="N873">
            <v>972.9</v>
          </cell>
        </row>
        <row r="874">
          <cell r="N874">
            <v>2517.36</v>
          </cell>
        </row>
        <row r="875">
          <cell r="N875">
            <v>410.52</v>
          </cell>
        </row>
        <row r="876">
          <cell r="N876">
            <v>977.8</v>
          </cell>
        </row>
        <row r="877">
          <cell r="N877">
            <v>666.95</v>
          </cell>
        </row>
        <row r="878">
          <cell r="N878">
            <v>3044.55</v>
          </cell>
        </row>
        <row r="879">
          <cell r="N879">
            <v>524.05999999999995</v>
          </cell>
        </row>
        <row r="880">
          <cell r="N880">
            <v>661.38</v>
          </cell>
        </row>
        <row r="881">
          <cell r="N881">
            <v>1095.3399999999999</v>
          </cell>
        </row>
        <row r="882">
          <cell r="N882">
            <v>934.8</v>
          </cell>
        </row>
        <row r="883">
          <cell r="N883">
            <v>897.7</v>
          </cell>
        </row>
        <row r="884">
          <cell r="N884">
            <v>548.24</v>
          </cell>
        </row>
        <row r="885">
          <cell r="N885">
            <v>2807.4</v>
          </cell>
        </row>
        <row r="886">
          <cell r="N886">
            <v>595.54</v>
          </cell>
        </row>
        <row r="887">
          <cell r="N887">
            <v>2062.36</v>
          </cell>
        </row>
        <row r="888">
          <cell r="N888">
            <v>460.13</v>
          </cell>
        </row>
        <row r="889">
          <cell r="N889">
            <v>514.98</v>
          </cell>
        </row>
        <row r="890">
          <cell r="N890">
            <v>533.9</v>
          </cell>
        </row>
        <row r="891">
          <cell r="N891">
            <v>3253.6</v>
          </cell>
        </row>
        <row r="892">
          <cell r="N892">
            <v>1318.59</v>
          </cell>
        </row>
        <row r="893">
          <cell r="N893">
            <v>1963.62</v>
          </cell>
        </row>
        <row r="894">
          <cell r="N894">
            <v>394.53</v>
          </cell>
        </row>
        <row r="895">
          <cell r="N895">
            <v>678.01</v>
          </cell>
        </row>
        <row r="896">
          <cell r="N896">
            <v>1725.03</v>
          </cell>
        </row>
        <row r="897">
          <cell r="N897">
            <v>463.92</v>
          </cell>
        </row>
        <row r="898">
          <cell r="N898">
            <v>441.87</v>
          </cell>
        </row>
        <row r="899">
          <cell r="N899">
            <v>1925.92</v>
          </cell>
        </row>
        <row r="900">
          <cell r="N900">
            <v>475.11</v>
          </cell>
        </row>
        <row r="901">
          <cell r="N901">
            <v>646.74</v>
          </cell>
        </row>
        <row r="902">
          <cell r="N902">
            <v>369.15</v>
          </cell>
        </row>
        <row r="903">
          <cell r="N903">
            <v>458.63</v>
          </cell>
        </row>
        <row r="904">
          <cell r="N904">
            <v>721</v>
          </cell>
        </row>
        <row r="905">
          <cell r="N905">
            <v>1420.47</v>
          </cell>
        </row>
        <row r="906">
          <cell r="N906">
            <v>949.72</v>
          </cell>
        </row>
        <row r="907">
          <cell r="N907">
            <v>442.39</v>
          </cell>
        </row>
        <row r="908">
          <cell r="N908">
            <v>62.12</v>
          </cell>
        </row>
        <row r="909">
          <cell r="N909">
            <v>1491.95</v>
          </cell>
        </row>
        <row r="910">
          <cell r="N910">
            <v>1395.86</v>
          </cell>
        </row>
        <row r="911">
          <cell r="N911">
            <v>583.70000000000005</v>
          </cell>
        </row>
        <row r="912">
          <cell r="N912">
            <v>926.94</v>
          </cell>
        </row>
        <row r="913">
          <cell r="N913">
            <v>1984.3</v>
          </cell>
        </row>
        <row r="914">
          <cell r="N914">
            <v>279.38</v>
          </cell>
        </row>
        <row r="915">
          <cell r="N915">
            <v>2379.75</v>
          </cell>
        </row>
        <row r="916">
          <cell r="N916">
            <v>626.6</v>
          </cell>
        </row>
        <row r="917">
          <cell r="N917">
            <v>2011.96</v>
          </cell>
        </row>
        <row r="918">
          <cell r="N918">
            <v>2894.15</v>
          </cell>
        </row>
        <row r="919">
          <cell r="N919">
            <v>1919.1</v>
          </cell>
        </row>
        <row r="920">
          <cell r="N920">
            <v>1841.25</v>
          </cell>
        </row>
        <row r="921">
          <cell r="N921">
            <v>749.2</v>
          </cell>
        </row>
        <row r="922">
          <cell r="N922">
            <v>856.18</v>
          </cell>
        </row>
        <row r="923">
          <cell r="N923">
            <v>438.93</v>
          </cell>
        </row>
        <row r="924">
          <cell r="N924">
            <v>1127.6400000000001</v>
          </cell>
        </row>
        <row r="925">
          <cell r="N925">
            <v>1949.79</v>
          </cell>
        </row>
        <row r="926">
          <cell r="N926">
            <v>1342.15</v>
          </cell>
        </row>
        <row r="927">
          <cell r="N927">
            <v>2512.35</v>
          </cell>
        </row>
        <row r="928">
          <cell r="N928">
            <v>26.95</v>
          </cell>
        </row>
        <row r="929">
          <cell r="N929">
            <v>258.76</v>
          </cell>
        </row>
        <row r="930">
          <cell r="N930">
            <v>741.33</v>
          </cell>
        </row>
        <row r="931">
          <cell r="N931">
            <v>1072.5</v>
          </cell>
        </row>
        <row r="932">
          <cell r="N932">
            <v>912.08</v>
          </cell>
        </row>
        <row r="933">
          <cell r="N933">
            <v>80.459999999999994</v>
          </cell>
        </row>
        <row r="934">
          <cell r="N934">
            <v>144.78</v>
          </cell>
        </row>
        <row r="935">
          <cell r="N935">
            <v>788.32</v>
          </cell>
        </row>
        <row r="936">
          <cell r="N936">
            <v>479.36</v>
          </cell>
        </row>
        <row r="937">
          <cell r="N937">
            <v>2078.13</v>
          </cell>
        </row>
        <row r="938">
          <cell r="N938">
            <v>226.64</v>
          </cell>
        </row>
        <row r="939">
          <cell r="N939">
            <v>597.05999999999995</v>
          </cell>
        </row>
        <row r="940">
          <cell r="N940">
            <v>994.38</v>
          </cell>
        </row>
        <row r="941">
          <cell r="N941">
            <v>1042.8</v>
          </cell>
        </row>
        <row r="942">
          <cell r="N942">
            <v>1221.28</v>
          </cell>
        </row>
        <row r="943">
          <cell r="N943">
            <v>558.5</v>
          </cell>
        </row>
        <row r="944">
          <cell r="N944">
            <v>479.76</v>
          </cell>
        </row>
        <row r="945">
          <cell r="N945">
            <v>580.47</v>
          </cell>
        </row>
        <row r="946">
          <cell r="N946">
            <v>852.44</v>
          </cell>
        </row>
        <row r="947">
          <cell r="N947">
            <v>1382.2</v>
          </cell>
        </row>
        <row r="948">
          <cell r="N948">
            <v>809.92</v>
          </cell>
        </row>
        <row r="949">
          <cell r="N949">
            <v>1862.64</v>
          </cell>
        </row>
        <row r="950">
          <cell r="N950">
            <v>1188.1400000000001</v>
          </cell>
        </row>
        <row r="951">
          <cell r="N951">
            <v>551.9</v>
          </cell>
        </row>
        <row r="952">
          <cell r="N952">
            <v>596.24</v>
          </cell>
        </row>
        <row r="953">
          <cell r="N953">
            <v>612.48</v>
          </cell>
        </row>
        <row r="954">
          <cell r="N954">
            <v>1510.17</v>
          </cell>
        </row>
        <row r="955">
          <cell r="N955">
            <v>131.61000000000001</v>
          </cell>
        </row>
        <row r="956">
          <cell r="N956">
            <v>1330.32</v>
          </cell>
        </row>
        <row r="957">
          <cell r="N957">
            <v>408.13</v>
          </cell>
        </row>
        <row r="958">
          <cell r="N958">
            <v>321.95999999999998</v>
          </cell>
        </row>
        <row r="959">
          <cell r="N959">
            <v>3219.45</v>
          </cell>
        </row>
        <row r="960">
          <cell r="N960">
            <v>475.98</v>
          </cell>
        </row>
        <row r="961">
          <cell r="N961">
            <v>287.64</v>
          </cell>
        </row>
        <row r="962">
          <cell r="N962">
            <v>1137.21</v>
          </cell>
        </row>
        <row r="963">
          <cell r="N963">
            <v>601.36</v>
          </cell>
        </row>
        <row r="964">
          <cell r="N964">
            <v>284.16000000000003</v>
          </cell>
        </row>
        <row r="965">
          <cell r="N965">
            <v>2651.7</v>
          </cell>
        </row>
        <row r="966">
          <cell r="N966">
            <v>1822.1</v>
          </cell>
        </row>
        <row r="967">
          <cell r="N967">
            <v>2313.12</v>
          </cell>
        </row>
        <row r="968">
          <cell r="N968">
            <v>1402.6</v>
          </cell>
        </row>
        <row r="969">
          <cell r="N969">
            <v>3194.6</v>
          </cell>
        </row>
        <row r="970">
          <cell r="N970">
            <v>1648.8</v>
          </cell>
        </row>
        <row r="971">
          <cell r="N971">
            <v>440.34</v>
          </cell>
        </row>
        <row r="972">
          <cell r="N972">
            <v>627.15</v>
          </cell>
        </row>
        <row r="973">
          <cell r="N973">
            <v>1210.52</v>
          </cell>
        </row>
        <row r="974">
          <cell r="N974">
            <v>90.27</v>
          </cell>
        </row>
        <row r="975">
          <cell r="N975">
            <v>1153.8499999999999</v>
          </cell>
        </row>
        <row r="976">
          <cell r="N976">
            <v>1333.9</v>
          </cell>
        </row>
        <row r="977">
          <cell r="N977">
            <v>105.92</v>
          </cell>
        </row>
        <row r="978">
          <cell r="N978">
            <v>1767.9</v>
          </cell>
        </row>
        <row r="979">
          <cell r="N979">
            <v>2597.88</v>
          </cell>
        </row>
        <row r="980">
          <cell r="N980">
            <v>429.96</v>
          </cell>
        </row>
        <row r="981">
          <cell r="N981">
            <v>2007.18</v>
          </cell>
        </row>
        <row r="982">
          <cell r="N982">
            <v>208.95</v>
          </cell>
        </row>
        <row r="983">
          <cell r="N983">
            <v>547.32000000000005</v>
          </cell>
        </row>
        <row r="984">
          <cell r="N984">
            <v>304.11</v>
          </cell>
        </row>
        <row r="985">
          <cell r="N985">
            <v>1185.1199999999999</v>
          </cell>
        </row>
        <row r="986">
          <cell r="N986">
            <v>77.64</v>
          </cell>
        </row>
        <row r="987">
          <cell r="N987">
            <v>243.71</v>
          </cell>
        </row>
        <row r="988">
          <cell r="N988">
            <v>2579.84</v>
          </cell>
        </row>
        <row r="989">
          <cell r="N989">
            <v>1418.65</v>
          </cell>
        </row>
        <row r="990">
          <cell r="N990">
            <v>1259.1199999999999</v>
          </cell>
        </row>
        <row r="991">
          <cell r="N991">
            <v>984.44</v>
          </cell>
        </row>
        <row r="992">
          <cell r="N992">
            <v>836.52</v>
          </cell>
        </row>
        <row r="993">
          <cell r="N993">
            <v>635.9</v>
          </cell>
        </row>
        <row r="994">
          <cell r="N994">
            <v>1758.63</v>
          </cell>
        </row>
        <row r="995">
          <cell r="N995">
            <v>802.35</v>
          </cell>
        </row>
        <row r="996">
          <cell r="N996">
            <v>2462.6</v>
          </cell>
        </row>
        <row r="997">
          <cell r="N997">
            <v>226.58</v>
          </cell>
        </row>
        <row r="998">
          <cell r="N998">
            <v>1895.44</v>
          </cell>
        </row>
        <row r="999">
          <cell r="N999">
            <v>1334.25</v>
          </cell>
        </row>
        <row r="1000">
          <cell r="N1000">
            <v>367.34</v>
          </cell>
        </row>
        <row r="1001">
          <cell r="N1001">
            <v>483.38</v>
          </cell>
        </row>
        <row r="1002">
          <cell r="N1002">
            <v>1304.6500000000001</v>
          </cell>
        </row>
        <row r="1003">
          <cell r="N1003">
            <v>507.36</v>
          </cell>
        </row>
        <row r="1004">
          <cell r="N1004">
            <v>2799.52</v>
          </cell>
        </row>
        <row r="1005">
          <cell r="N1005">
            <v>1599.85</v>
          </cell>
        </row>
        <row r="1006">
          <cell r="N1006">
            <v>987.64</v>
          </cell>
        </row>
        <row r="1007">
          <cell r="N1007">
            <v>1178.55</v>
          </cell>
        </row>
        <row r="1008">
          <cell r="N1008">
            <v>2104.9</v>
          </cell>
        </row>
        <row r="1009">
          <cell r="N1009">
            <v>146.52000000000001</v>
          </cell>
        </row>
        <row r="1010">
          <cell r="N1010">
            <v>1232.6400000000001</v>
          </cell>
        </row>
        <row r="1011">
          <cell r="N1011">
            <v>352.92</v>
          </cell>
        </row>
        <row r="1012">
          <cell r="N1012">
            <v>1978.71</v>
          </cell>
        </row>
        <row r="1013">
          <cell r="N1013">
            <v>956.72</v>
          </cell>
        </row>
        <row r="1014">
          <cell r="N1014">
            <v>120.2</v>
          </cell>
        </row>
        <row r="1015">
          <cell r="N1015">
            <v>1202.24</v>
          </cell>
        </row>
        <row r="1016">
          <cell r="N1016">
            <v>1132.25</v>
          </cell>
        </row>
        <row r="1017">
          <cell r="N1017">
            <v>698.8</v>
          </cell>
        </row>
        <row r="1018">
          <cell r="N1018">
            <v>1343.9</v>
          </cell>
        </row>
        <row r="1019">
          <cell r="N1019">
            <v>1361.7</v>
          </cell>
        </row>
        <row r="1020">
          <cell r="N1020">
            <v>547.44000000000005</v>
          </cell>
        </row>
        <row r="1021">
          <cell r="N1021">
            <v>277.08999999999997</v>
          </cell>
        </row>
        <row r="1022">
          <cell r="N1022">
            <v>53</v>
          </cell>
        </row>
        <row r="1023">
          <cell r="N1023">
            <v>945.81</v>
          </cell>
        </row>
        <row r="1024">
          <cell r="N1024">
            <v>1352.94</v>
          </cell>
        </row>
        <row r="1025">
          <cell r="N1025">
            <v>1168.3499999999999</v>
          </cell>
        </row>
        <row r="1026">
          <cell r="N1026">
            <v>1103.25</v>
          </cell>
        </row>
        <row r="1027">
          <cell r="N1027">
            <v>23.53</v>
          </cell>
        </row>
        <row r="1028">
          <cell r="N1028">
            <v>677.48</v>
          </cell>
        </row>
        <row r="1029">
          <cell r="N1029">
            <v>2219.3200000000002</v>
          </cell>
        </row>
        <row r="1030">
          <cell r="N1030">
            <v>1761.24</v>
          </cell>
        </row>
        <row r="1031">
          <cell r="N1031">
            <v>87.06</v>
          </cell>
        </row>
        <row r="1032">
          <cell r="N1032">
            <v>981.12</v>
          </cell>
        </row>
        <row r="1033">
          <cell r="N1033">
            <v>3322.55</v>
          </cell>
        </row>
        <row r="1034">
          <cell r="N1034">
            <v>618.67999999999995</v>
          </cell>
        </row>
        <row r="1035">
          <cell r="N1035">
            <v>370.85</v>
          </cell>
        </row>
        <row r="1036">
          <cell r="N1036">
            <v>2071.92</v>
          </cell>
        </row>
        <row r="1037">
          <cell r="N1037">
            <v>2024.44</v>
          </cell>
        </row>
        <row r="1038">
          <cell r="N1038">
            <v>1241.49</v>
          </cell>
        </row>
        <row r="1039">
          <cell r="N1039">
            <v>249.81</v>
          </cell>
        </row>
        <row r="1040">
          <cell r="N1040">
            <v>1087.5899999999999</v>
          </cell>
        </row>
        <row r="1041">
          <cell r="N1041">
            <v>598.46</v>
          </cell>
        </row>
        <row r="1042">
          <cell r="N1042">
            <v>536.07000000000005</v>
          </cell>
        </row>
        <row r="1043">
          <cell r="N1043">
            <v>2235.6</v>
          </cell>
        </row>
        <row r="1044">
          <cell r="N1044">
            <v>819.5</v>
          </cell>
        </row>
        <row r="1045">
          <cell r="N1045">
            <v>359.92</v>
          </cell>
        </row>
        <row r="1046">
          <cell r="N1046">
            <v>38.49</v>
          </cell>
        </row>
        <row r="1047">
          <cell r="N1047">
            <v>1582</v>
          </cell>
        </row>
        <row r="1048">
          <cell r="N1048">
            <v>1641.45</v>
          </cell>
        </row>
        <row r="1049">
          <cell r="N1049">
            <v>2161.36</v>
          </cell>
        </row>
        <row r="1050">
          <cell r="N1050">
            <v>294.60000000000002</v>
          </cell>
        </row>
        <row r="1051">
          <cell r="N1051">
            <v>1959.3</v>
          </cell>
        </row>
        <row r="1052">
          <cell r="N1052">
            <v>348.5</v>
          </cell>
        </row>
        <row r="1053">
          <cell r="N1053">
            <v>132.15</v>
          </cell>
        </row>
        <row r="1054">
          <cell r="N1054">
            <v>531.74</v>
          </cell>
        </row>
        <row r="1055">
          <cell r="N1055">
            <v>993.24</v>
          </cell>
        </row>
        <row r="1056">
          <cell r="N1056">
            <v>660.66</v>
          </cell>
        </row>
        <row r="1057">
          <cell r="N1057">
            <v>1099.28</v>
          </cell>
        </row>
        <row r="1058">
          <cell r="N1058">
            <v>972.7</v>
          </cell>
        </row>
        <row r="1059">
          <cell r="N1059">
            <v>1286.6400000000001</v>
          </cell>
        </row>
        <row r="1060">
          <cell r="N1060">
            <v>824.28</v>
          </cell>
        </row>
        <row r="1061">
          <cell r="N1061">
            <v>265.64</v>
          </cell>
        </row>
        <row r="1062">
          <cell r="N1062">
            <v>546.86</v>
          </cell>
        </row>
        <row r="1063">
          <cell r="N1063">
            <v>658.5</v>
          </cell>
        </row>
        <row r="1064">
          <cell r="N1064">
            <v>427.6</v>
          </cell>
        </row>
        <row r="1065">
          <cell r="N1065">
            <v>641.36</v>
          </cell>
        </row>
        <row r="1066">
          <cell r="N1066">
            <v>795.24</v>
          </cell>
        </row>
        <row r="1067">
          <cell r="N1067">
            <v>3334</v>
          </cell>
        </row>
        <row r="1068">
          <cell r="N1068">
            <v>355.09</v>
          </cell>
        </row>
        <row r="1069">
          <cell r="N1069">
            <v>632.4</v>
          </cell>
        </row>
        <row r="1070">
          <cell r="N1070">
            <v>133.38999999999999</v>
          </cell>
        </row>
        <row r="1071">
          <cell r="N1071">
            <v>454.23</v>
          </cell>
        </row>
        <row r="1072">
          <cell r="N1072">
            <v>1965.16</v>
          </cell>
        </row>
        <row r="1073">
          <cell r="N1073">
            <v>510.28</v>
          </cell>
        </row>
        <row r="1074">
          <cell r="N1074">
            <v>392.61</v>
          </cell>
        </row>
        <row r="1075">
          <cell r="N1075">
            <v>1448.24</v>
          </cell>
        </row>
        <row r="1076">
          <cell r="N1076">
            <v>222.73</v>
          </cell>
        </row>
        <row r="1077">
          <cell r="N1077">
            <v>1105.26</v>
          </cell>
        </row>
        <row r="1078">
          <cell r="N1078">
            <v>2746.44</v>
          </cell>
        </row>
        <row r="1079">
          <cell r="N1079">
            <v>915.48</v>
          </cell>
        </row>
        <row r="1080">
          <cell r="N1080">
            <v>41.09</v>
          </cell>
        </row>
        <row r="1081">
          <cell r="N1081">
            <v>3170</v>
          </cell>
        </row>
        <row r="1082">
          <cell r="N1082">
            <v>2323.6999999999998</v>
          </cell>
        </row>
        <row r="1083">
          <cell r="N1083">
            <v>1702.4</v>
          </cell>
        </row>
        <row r="1084">
          <cell r="N1084">
            <v>1719.66</v>
          </cell>
        </row>
        <row r="1085">
          <cell r="N1085">
            <v>123.28</v>
          </cell>
        </row>
        <row r="1086">
          <cell r="N1086">
            <v>70.819999999999993</v>
          </cell>
        </row>
        <row r="1087">
          <cell r="N1087">
            <v>1293.3800000000001</v>
          </cell>
        </row>
        <row r="1088">
          <cell r="N1088">
            <v>1026.8399999999999</v>
          </cell>
        </row>
        <row r="1089">
          <cell r="N1089">
            <v>2772.28</v>
          </cell>
        </row>
        <row r="1090">
          <cell r="N1090">
            <v>1474.29</v>
          </cell>
        </row>
        <row r="1091">
          <cell r="N1091">
            <v>1199.48</v>
          </cell>
        </row>
        <row r="1092">
          <cell r="N1092">
            <v>1300.5</v>
          </cell>
        </row>
        <row r="1093">
          <cell r="N1093">
            <v>628.44000000000005</v>
          </cell>
        </row>
        <row r="1094">
          <cell r="N1094">
            <v>1046</v>
          </cell>
        </row>
        <row r="1095">
          <cell r="N1095">
            <v>789.44</v>
          </cell>
        </row>
        <row r="1096">
          <cell r="N1096">
            <v>2595.64</v>
          </cell>
        </row>
        <row r="1097">
          <cell r="N1097">
            <v>883.08</v>
          </cell>
        </row>
        <row r="1098">
          <cell r="N1098">
            <v>929.84</v>
          </cell>
        </row>
        <row r="1099">
          <cell r="N1099">
            <v>2532.25</v>
          </cell>
        </row>
        <row r="1100">
          <cell r="N1100">
            <v>1023.44</v>
          </cell>
        </row>
        <row r="1101">
          <cell r="N1101">
            <v>250.46</v>
          </cell>
        </row>
        <row r="1102">
          <cell r="N1102">
            <v>190.55</v>
          </cell>
        </row>
        <row r="1103">
          <cell r="N1103">
            <v>485.91</v>
          </cell>
        </row>
        <row r="1104">
          <cell r="N1104">
            <v>1388.68</v>
          </cell>
        </row>
        <row r="1105">
          <cell r="N1105">
            <v>1105.28</v>
          </cell>
        </row>
        <row r="1106">
          <cell r="N1106">
            <v>1259.04</v>
          </cell>
        </row>
        <row r="1107">
          <cell r="N1107">
            <v>1427.07</v>
          </cell>
        </row>
        <row r="1108">
          <cell r="N1108">
            <v>372.8</v>
          </cell>
        </row>
        <row r="1109">
          <cell r="N1109">
            <v>126.42</v>
          </cell>
        </row>
        <row r="1110">
          <cell r="N1110">
            <v>634.94000000000005</v>
          </cell>
        </row>
        <row r="1111">
          <cell r="N1111">
            <v>309.88</v>
          </cell>
        </row>
        <row r="1112">
          <cell r="N1112">
            <v>252.93</v>
          </cell>
        </row>
        <row r="1113">
          <cell r="N1113">
            <v>937.8</v>
          </cell>
        </row>
        <row r="1114">
          <cell r="N1114">
            <v>356.81</v>
          </cell>
        </row>
        <row r="1115">
          <cell r="N1115">
            <v>839.96</v>
          </cell>
        </row>
        <row r="1116">
          <cell r="N1116">
            <v>1979.64</v>
          </cell>
        </row>
        <row r="1117">
          <cell r="N1117">
            <v>672.64</v>
          </cell>
        </row>
        <row r="1118">
          <cell r="N1118">
            <v>1062.98</v>
          </cell>
        </row>
        <row r="1119">
          <cell r="N1119">
            <v>1765.32</v>
          </cell>
        </row>
        <row r="1120">
          <cell r="N1120">
            <v>754.44</v>
          </cell>
        </row>
        <row r="1121">
          <cell r="N1121">
            <v>684.65</v>
          </cell>
        </row>
        <row r="1122">
          <cell r="N1122">
            <v>195.86</v>
          </cell>
        </row>
        <row r="1123">
          <cell r="N1123">
            <v>151.02000000000001</v>
          </cell>
        </row>
        <row r="1124">
          <cell r="N1124">
            <v>3390.95</v>
          </cell>
        </row>
        <row r="1125">
          <cell r="N1125">
            <v>1662.75</v>
          </cell>
        </row>
        <row r="1126">
          <cell r="N1126">
            <v>2307.48</v>
          </cell>
        </row>
        <row r="1127">
          <cell r="N1127">
            <v>1633.44</v>
          </cell>
        </row>
        <row r="1128">
          <cell r="N1128">
            <v>950.55</v>
          </cell>
        </row>
        <row r="1129">
          <cell r="N1129">
            <v>1808.25</v>
          </cell>
        </row>
        <row r="1130">
          <cell r="N1130">
            <v>1940.37</v>
          </cell>
        </row>
        <row r="1131">
          <cell r="N1131">
            <v>1674.84</v>
          </cell>
        </row>
        <row r="1132">
          <cell r="N1132">
            <v>646.9</v>
          </cell>
        </row>
        <row r="1133">
          <cell r="N1133">
            <v>694.5</v>
          </cell>
        </row>
        <row r="1134">
          <cell r="N1134">
            <v>674.64</v>
          </cell>
        </row>
        <row r="1135">
          <cell r="N1135">
            <v>935.82</v>
          </cell>
        </row>
        <row r="1136">
          <cell r="N1136">
            <v>153.12</v>
          </cell>
        </row>
        <row r="1137">
          <cell r="N1137">
            <v>146.82</v>
          </cell>
        </row>
        <row r="1138">
          <cell r="N1138">
            <v>2004.99</v>
          </cell>
        </row>
        <row r="1139">
          <cell r="N1139">
            <v>1640.84</v>
          </cell>
        </row>
        <row r="1140">
          <cell r="N1140">
            <v>1177.6400000000001</v>
          </cell>
        </row>
        <row r="1141">
          <cell r="N1141">
            <v>1505.46</v>
          </cell>
        </row>
        <row r="1142">
          <cell r="N1142">
            <v>1105.6600000000001</v>
          </cell>
        </row>
        <row r="1143">
          <cell r="N1143">
            <v>1495.98</v>
          </cell>
        </row>
        <row r="1144">
          <cell r="N1144">
            <v>2780.4</v>
          </cell>
        </row>
        <row r="1145">
          <cell r="N1145">
            <v>381.61</v>
          </cell>
        </row>
        <row r="1146">
          <cell r="N1146">
            <v>2539.6999999999998</v>
          </cell>
        </row>
        <row r="1147">
          <cell r="N1147">
            <v>1714.59</v>
          </cell>
        </row>
        <row r="1148">
          <cell r="N1148">
            <v>2107.1999999999998</v>
          </cell>
        </row>
        <row r="1149">
          <cell r="N1149">
            <v>1176.5999999999999</v>
          </cell>
        </row>
        <row r="1150">
          <cell r="N1150">
            <v>355.15</v>
          </cell>
        </row>
        <row r="1151">
          <cell r="N1151">
            <v>1390.58</v>
          </cell>
        </row>
        <row r="1152">
          <cell r="N1152">
            <v>1210.5999999999999</v>
          </cell>
        </row>
        <row r="1153">
          <cell r="N1153">
            <v>1216.08</v>
          </cell>
        </row>
        <row r="1154">
          <cell r="N1154">
            <v>688.36</v>
          </cell>
        </row>
        <row r="1155">
          <cell r="N1155">
            <v>2786.84</v>
          </cell>
        </row>
        <row r="1156">
          <cell r="N1156">
            <v>595.89</v>
          </cell>
        </row>
        <row r="1157">
          <cell r="N1157">
            <v>2138.2800000000002</v>
          </cell>
        </row>
        <row r="1158">
          <cell r="N1158">
            <v>2763.12</v>
          </cell>
        </row>
        <row r="1159">
          <cell r="N1159">
            <v>904.65</v>
          </cell>
        </row>
        <row r="1160">
          <cell r="N1160">
            <v>109.68</v>
          </cell>
        </row>
        <row r="1161">
          <cell r="N1161">
            <v>1866.8</v>
          </cell>
        </row>
        <row r="1162">
          <cell r="N1162">
            <v>541.64</v>
          </cell>
        </row>
        <row r="1163">
          <cell r="N1163">
            <v>11.39</v>
          </cell>
        </row>
        <row r="1164">
          <cell r="N1164">
            <v>448.74</v>
          </cell>
        </row>
        <row r="1165">
          <cell r="N1165">
            <v>918.87</v>
          </cell>
        </row>
        <row r="1166">
          <cell r="N1166">
            <v>1577.85</v>
          </cell>
        </row>
        <row r="1167">
          <cell r="N1167">
            <v>671.37</v>
          </cell>
        </row>
        <row r="1168">
          <cell r="N1168">
            <v>973.41</v>
          </cell>
        </row>
        <row r="1169">
          <cell r="N1169">
            <v>185.74</v>
          </cell>
        </row>
        <row r="1170">
          <cell r="N1170">
            <v>662.84</v>
          </cell>
        </row>
        <row r="1171">
          <cell r="N1171">
            <v>525.42999999999995</v>
          </cell>
        </row>
        <row r="1172">
          <cell r="N1172">
            <v>1394.38</v>
          </cell>
        </row>
        <row r="1173">
          <cell r="N1173">
            <v>2073.6</v>
          </cell>
        </row>
        <row r="1174">
          <cell r="N1174">
            <v>395.88</v>
          </cell>
        </row>
        <row r="1175">
          <cell r="N1175">
            <v>208.36</v>
          </cell>
        </row>
        <row r="1176">
          <cell r="N1176">
            <v>667.02</v>
          </cell>
        </row>
        <row r="1177">
          <cell r="N1177">
            <v>275.22000000000003</v>
          </cell>
        </row>
        <row r="1178">
          <cell r="N1178">
            <v>427.66</v>
          </cell>
        </row>
        <row r="1179">
          <cell r="N1179">
            <v>127.55</v>
          </cell>
        </row>
        <row r="1180">
          <cell r="N1180">
            <v>70.239999999999995</v>
          </cell>
        </row>
        <row r="1181">
          <cell r="N1181">
            <v>2592.75</v>
          </cell>
        </row>
        <row r="1182">
          <cell r="N1182">
            <v>1193.44</v>
          </cell>
        </row>
        <row r="1183">
          <cell r="N1183">
            <v>476.22</v>
          </cell>
        </row>
        <row r="1184">
          <cell r="N1184">
            <v>840.58</v>
          </cell>
        </row>
        <row r="1185">
          <cell r="N1185">
            <v>281.52</v>
          </cell>
        </row>
        <row r="1186">
          <cell r="N1186">
            <v>204.08</v>
          </cell>
        </row>
        <row r="1187">
          <cell r="N1187">
            <v>343.31</v>
          </cell>
        </row>
        <row r="1188">
          <cell r="N1188">
            <v>163.32</v>
          </cell>
        </row>
        <row r="1189">
          <cell r="N1189">
            <v>369.2</v>
          </cell>
        </row>
        <row r="1190">
          <cell r="N1190">
            <v>742.58</v>
          </cell>
        </row>
        <row r="1191">
          <cell r="N1191">
            <v>1946.1</v>
          </cell>
        </row>
        <row r="1192">
          <cell r="N1192">
            <v>1849.17</v>
          </cell>
        </row>
        <row r="1193">
          <cell r="N1193">
            <v>1505.72</v>
          </cell>
        </row>
        <row r="1194">
          <cell r="N1194">
            <v>1298.55</v>
          </cell>
        </row>
        <row r="1195">
          <cell r="N1195">
            <v>687.89</v>
          </cell>
        </row>
        <row r="1196">
          <cell r="N1196">
            <v>568.32000000000005</v>
          </cell>
        </row>
        <row r="1197">
          <cell r="N1197">
            <v>107.04</v>
          </cell>
        </row>
        <row r="1198">
          <cell r="N1198">
            <v>1325.06</v>
          </cell>
        </row>
        <row r="1199">
          <cell r="N1199">
            <v>873.68</v>
          </cell>
        </row>
        <row r="1200">
          <cell r="N1200">
            <v>1050.08</v>
          </cell>
        </row>
        <row r="1201">
          <cell r="N1201">
            <v>2242.3200000000002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26F47-EAB4-EB4D-9371-18467681E533}" name="Table1" displayName="Table1" ref="A1:N1201" totalsRowShown="0" headerRowDxfId="7" headerRowBorderDxfId="6" tableBorderDxfId="5">
  <autoFilter ref="A1:N1201" xr:uid="{2A226F47-EAB4-EB4D-9371-18467681E533}"/>
  <tableColumns count="14">
    <tableColumn id="1" xr3:uid="{0F4C9F21-41AD-CE45-94D7-53D3EDE3E7EB}" name="OrderID"/>
    <tableColumn id="2" xr3:uid="{82A99D1C-108D-5043-95A3-2FDA142F05A6}" name="Date" dataDxfId="4" totalsRowDxfId="3"/>
    <tableColumn id="3" xr3:uid="{2CF224F3-5914-7540-AB7F-B763F5513BF6}" name="CustomerID"/>
    <tableColumn id="4" xr3:uid="{D6AC585F-2EA0-7C41-ABBD-8AA8168DE2DD}" name="Product"/>
    <tableColumn id="5" xr3:uid="{82A799A6-4DF0-7446-AD18-E4F9F251EDCC}" name="Quantity"/>
    <tableColumn id="6" xr3:uid="{3B42B6C9-0D79-1946-83B6-3BF85DA3C18C}" name="UnitPrice" dataDxfId="2" totalsRowDxfId="1"/>
    <tableColumn id="7" xr3:uid="{92C229B9-A86C-844B-9B38-169F4B386919}" name="ShippingAddress"/>
    <tableColumn id="8" xr3:uid="{2FBE5B09-508B-4D4C-8B2A-14D74DB401A4}" name="PaymentMethod"/>
    <tableColumn id="9" xr3:uid="{1C1F6CAC-3681-1D4B-B460-E84A29623F33}" name="OrderStatus"/>
    <tableColumn id="10" xr3:uid="{002DC41C-D633-674E-A7B5-C9769C333787}" name="TrackingNumber"/>
    <tableColumn id="11" xr3:uid="{3A1FE052-FD2F-4040-87BD-B3450F5DBA9F}" name="ItemsInCart"/>
    <tableColumn id="12" xr3:uid="{AE279C8E-7DD0-EC47-851E-27992960A931}" name="CouponCode"/>
    <tableColumn id="13" xr3:uid="{1715F29F-6065-6D4A-AACD-789229F8D0A1}" name="ReferralSource"/>
    <tableColumn id="14" xr3:uid="{913BE9CE-352A-ED48-8E30-1092A3E9CF0C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120" zoomScaleNormal="120" workbookViewId="0">
      <selection activeCell="L23" sqref="L23"/>
    </sheetView>
  </sheetViews>
  <sheetFormatPr baseColWidth="10" defaultColWidth="8.83203125" defaultRowHeight="15" x14ac:dyDescent="0.2"/>
  <cols>
    <col min="2" max="2" width="1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A46D-9958-1243-B6AE-75B2DD4A1CBF}">
  <dimension ref="A1:N1201"/>
  <sheetViews>
    <sheetView topLeftCell="A2" zoomScaleNormal="100" workbookViewId="0">
      <selection activeCell="L712" sqref="L712"/>
    </sheetView>
  </sheetViews>
  <sheetFormatPr baseColWidth="10" defaultColWidth="8.83203125" defaultRowHeight="15" x14ac:dyDescent="0.2"/>
  <cols>
    <col min="1" max="1" width="10.5" bestFit="1" customWidth="1"/>
    <col min="2" max="2" width="10.1640625" bestFit="1" customWidth="1"/>
    <col min="3" max="3" width="10.5" customWidth="1"/>
    <col min="4" max="4" width="9.6640625" customWidth="1"/>
    <col min="5" max="5" width="9" customWidth="1"/>
    <col min="6" max="6" width="10.83203125" style="5" customWidth="1"/>
    <col min="7" max="7" width="16.33203125" customWidth="1"/>
    <col min="8" max="8" width="15.6640625" customWidth="1"/>
    <col min="9" max="9" width="12.6640625" customWidth="1"/>
    <col min="10" max="10" width="16.1640625" customWidth="1"/>
    <col min="11" max="11" width="10.83203125" customWidth="1"/>
    <col min="12" max="12" width="13.5" customWidth="1"/>
    <col min="13" max="13" width="15" customWidth="1"/>
    <col min="14" max="14" width="12.83203125" customWidth="1"/>
  </cols>
  <sheetData>
    <row r="1" spans="1:14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6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7">
        <v>2853.1</v>
      </c>
    </row>
    <row r="3" spans="1:14" x14ac:dyDescent="0.2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6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7">
        <v>302.7</v>
      </c>
    </row>
    <row r="4" spans="1:14" x14ac:dyDescent="0.2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6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7">
        <v>2753.4</v>
      </c>
    </row>
    <row r="5" spans="1:14" x14ac:dyDescent="0.2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6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7">
        <v>273.19</v>
      </c>
    </row>
    <row r="6" spans="1:14" x14ac:dyDescent="0.2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7">
        <v>2504.04</v>
      </c>
    </row>
    <row r="7" spans="1:14" x14ac:dyDescent="0.2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6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7">
        <v>491.72</v>
      </c>
    </row>
    <row r="8" spans="1:14" x14ac:dyDescent="0.2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6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7">
        <v>664.42</v>
      </c>
    </row>
    <row r="9" spans="1:14" x14ac:dyDescent="0.2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6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7">
        <v>747.75</v>
      </c>
    </row>
    <row r="10" spans="1:14" x14ac:dyDescent="0.2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6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7">
        <v>268.56</v>
      </c>
    </row>
    <row r="11" spans="1:14" x14ac:dyDescent="0.2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6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7">
        <v>2037.52</v>
      </c>
    </row>
    <row r="12" spans="1:14" x14ac:dyDescent="0.2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6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7">
        <v>3129.85</v>
      </c>
    </row>
    <row r="13" spans="1:14" x14ac:dyDescent="0.2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6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7">
        <v>147.41999999999999</v>
      </c>
    </row>
    <row r="14" spans="1:14" x14ac:dyDescent="0.2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6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7">
        <v>361</v>
      </c>
    </row>
    <row r="15" spans="1:14" x14ac:dyDescent="0.2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6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7">
        <v>604.47</v>
      </c>
    </row>
    <row r="16" spans="1:14" x14ac:dyDescent="0.2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7">
        <v>786.66</v>
      </c>
    </row>
    <row r="17" spans="1:14" x14ac:dyDescent="0.2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6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7">
        <v>473.96</v>
      </c>
    </row>
    <row r="18" spans="1:14" x14ac:dyDescent="0.2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6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7">
        <v>1067.6199999999999</v>
      </c>
    </row>
    <row r="19" spans="1:14" x14ac:dyDescent="0.2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6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7">
        <v>423.4</v>
      </c>
    </row>
    <row r="20" spans="1:14" x14ac:dyDescent="0.2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6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7">
        <v>431.44</v>
      </c>
    </row>
    <row r="21" spans="1:14" x14ac:dyDescent="0.2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6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7">
        <v>1120</v>
      </c>
    </row>
    <row r="22" spans="1:14" x14ac:dyDescent="0.2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6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7">
        <v>312.55</v>
      </c>
    </row>
    <row r="23" spans="1:14" x14ac:dyDescent="0.2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6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7">
        <v>1371.8</v>
      </c>
    </row>
    <row r="24" spans="1:14" x14ac:dyDescent="0.2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6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7">
        <v>99.24</v>
      </c>
    </row>
    <row r="25" spans="1:14" x14ac:dyDescent="0.2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6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7">
        <v>1093</v>
      </c>
    </row>
    <row r="26" spans="1:14" x14ac:dyDescent="0.2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7">
        <v>461.9</v>
      </c>
    </row>
    <row r="27" spans="1:14" x14ac:dyDescent="0.2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6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7">
        <v>399.98</v>
      </c>
    </row>
    <row r="28" spans="1:14" x14ac:dyDescent="0.2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6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7">
        <v>297.75</v>
      </c>
    </row>
    <row r="29" spans="1:14" x14ac:dyDescent="0.2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6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7">
        <v>472.74</v>
      </c>
    </row>
    <row r="30" spans="1:14" x14ac:dyDescent="0.2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6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7">
        <v>640.28</v>
      </c>
    </row>
    <row r="31" spans="1:14" x14ac:dyDescent="0.2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6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7">
        <v>1270.5899999999999</v>
      </c>
    </row>
    <row r="32" spans="1:14" x14ac:dyDescent="0.2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6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7">
        <v>853.4</v>
      </c>
    </row>
    <row r="33" spans="1:14" x14ac:dyDescent="0.2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6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7">
        <v>1500.24</v>
      </c>
    </row>
    <row r="34" spans="1:14" x14ac:dyDescent="0.2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6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7">
        <v>2683.6</v>
      </c>
    </row>
    <row r="35" spans="1:14" x14ac:dyDescent="0.2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6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7">
        <v>162.77000000000001</v>
      </c>
    </row>
    <row r="36" spans="1:14" x14ac:dyDescent="0.2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7">
        <v>2306.08</v>
      </c>
    </row>
    <row r="37" spans="1:14" x14ac:dyDescent="0.2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6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7">
        <v>930.3</v>
      </c>
    </row>
    <row r="38" spans="1:14" x14ac:dyDescent="0.2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6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7">
        <v>1068.8599999999999</v>
      </c>
    </row>
    <row r="39" spans="1:14" x14ac:dyDescent="0.2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6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7">
        <v>153.47999999999999</v>
      </c>
    </row>
    <row r="40" spans="1:14" x14ac:dyDescent="0.2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6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7">
        <v>245.89</v>
      </c>
    </row>
    <row r="41" spans="1:14" x14ac:dyDescent="0.2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6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7">
        <v>769.38</v>
      </c>
    </row>
    <row r="42" spans="1:14" x14ac:dyDescent="0.2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6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7">
        <v>688.04</v>
      </c>
    </row>
    <row r="43" spans="1:14" x14ac:dyDescent="0.2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6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7">
        <v>1834.35</v>
      </c>
    </row>
    <row r="44" spans="1:14" x14ac:dyDescent="0.2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6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7">
        <v>303.32</v>
      </c>
    </row>
    <row r="45" spans="1:14" x14ac:dyDescent="0.2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6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7">
        <v>1497.63</v>
      </c>
    </row>
    <row r="46" spans="1:14" x14ac:dyDescent="0.2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7">
        <v>1100.3599999999999</v>
      </c>
    </row>
    <row r="47" spans="1:14" x14ac:dyDescent="0.2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6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7">
        <v>317.25</v>
      </c>
    </row>
    <row r="48" spans="1:14" x14ac:dyDescent="0.2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6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7">
        <v>2200.56</v>
      </c>
    </row>
    <row r="49" spans="1:14" x14ac:dyDescent="0.2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6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7">
        <v>419.88</v>
      </c>
    </row>
    <row r="50" spans="1:14" x14ac:dyDescent="0.2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6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7">
        <v>161.54</v>
      </c>
    </row>
    <row r="51" spans="1:14" x14ac:dyDescent="0.2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6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7">
        <v>30.44</v>
      </c>
    </row>
    <row r="52" spans="1:14" x14ac:dyDescent="0.2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6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7">
        <v>179.22</v>
      </c>
    </row>
    <row r="53" spans="1:14" x14ac:dyDescent="0.2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6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7">
        <v>388.33</v>
      </c>
    </row>
    <row r="54" spans="1:14" x14ac:dyDescent="0.2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6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7">
        <v>586.44000000000005</v>
      </c>
    </row>
    <row r="55" spans="1:14" x14ac:dyDescent="0.2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6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7">
        <v>1955.12</v>
      </c>
    </row>
    <row r="56" spans="1:14" x14ac:dyDescent="0.2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7">
        <v>280.25</v>
      </c>
    </row>
    <row r="57" spans="1:14" x14ac:dyDescent="0.2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6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7">
        <v>1033.2</v>
      </c>
    </row>
    <row r="58" spans="1:14" x14ac:dyDescent="0.2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6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7">
        <v>1437.63</v>
      </c>
    </row>
    <row r="59" spans="1:14" x14ac:dyDescent="0.2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6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7">
        <v>1571.35</v>
      </c>
    </row>
    <row r="60" spans="1:14" x14ac:dyDescent="0.2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6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7">
        <v>1898.76</v>
      </c>
    </row>
    <row r="61" spans="1:14" x14ac:dyDescent="0.2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6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7">
        <v>2373.08</v>
      </c>
    </row>
    <row r="62" spans="1:14" x14ac:dyDescent="0.2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6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7">
        <v>417.1</v>
      </c>
    </row>
    <row r="63" spans="1:14" x14ac:dyDescent="0.2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6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7">
        <v>488.8</v>
      </c>
    </row>
    <row r="64" spans="1:14" x14ac:dyDescent="0.2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6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7">
        <v>86.3</v>
      </c>
    </row>
    <row r="65" spans="1:14" x14ac:dyDescent="0.2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6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7">
        <v>564.86</v>
      </c>
    </row>
    <row r="66" spans="1:14" x14ac:dyDescent="0.2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7">
        <v>391.83</v>
      </c>
    </row>
    <row r="67" spans="1:14" x14ac:dyDescent="0.2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6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7">
        <v>408.5</v>
      </c>
    </row>
    <row r="68" spans="1:14" x14ac:dyDescent="0.2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6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7">
        <v>635.9</v>
      </c>
    </row>
    <row r="69" spans="1:14" x14ac:dyDescent="0.2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6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7">
        <v>48.4</v>
      </c>
    </row>
    <row r="70" spans="1:14" x14ac:dyDescent="0.2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6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7">
        <v>1472.76</v>
      </c>
    </row>
    <row r="71" spans="1:14" x14ac:dyDescent="0.2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6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7">
        <v>1435.95</v>
      </c>
    </row>
    <row r="72" spans="1:14" x14ac:dyDescent="0.2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6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7">
        <v>629.21</v>
      </c>
    </row>
    <row r="73" spans="1:14" x14ac:dyDescent="0.2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6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7">
        <v>1303.3499999999999</v>
      </c>
    </row>
    <row r="74" spans="1:14" x14ac:dyDescent="0.2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6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7">
        <v>2357.7600000000002</v>
      </c>
    </row>
    <row r="75" spans="1:14" x14ac:dyDescent="0.2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6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7">
        <v>1733.8</v>
      </c>
    </row>
    <row r="76" spans="1:14" x14ac:dyDescent="0.2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7">
        <v>454.35</v>
      </c>
    </row>
    <row r="77" spans="1:14" x14ac:dyDescent="0.2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6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7">
        <v>1194.51</v>
      </c>
    </row>
    <row r="78" spans="1:14" x14ac:dyDescent="0.2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6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7">
        <v>1531.52</v>
      </c>
    </row>
    <row r="79" spans="1:14" x14ac:dyDescent="0.2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6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7">
        <v>583.17999999999995</v>
      </c>
    </row>
    <row r="80" spans="1:14" x14ac:dyDescent="0.2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6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7">
        <v>701.44</v>
      </c>
    </row>
    <row r="81" spans="1:14" x14ac:dyDescent="0.2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6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7">
        <v>623.82000000000005</v>
      </c>
    </row>
    <row r="82" spans="1:14" x14ac:dyDescent="0.2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6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7">
        <v>1768.68</v>
      </c>
    </row>
    <row r="83" spans="1:14" x14ac:dyDescent="0.2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6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7">
        <v>788.6</v>
      </c>
    </row>
    <row r="84" spans="1:14" x14ac:dyDescent="0.2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6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7">
        <v>2260.8000000000002</v>
      </c>
    </row>
    <row r="85" spans="1:14" x14ac:dyDescent="0.2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6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7">
        <v>2161.64</v>
      </c>
    </row>
    <row r="86" spans="1:14" x14ac:dyDescent="0.2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7">
        <v>330.98</v>
      </c>
    </row>
    <row r="87" spans="1:14" x14ac:dyDescent="0.2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6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7">
        <v>440.19</v>
      </c>
    </row>
    <row r="88" spans="1:14" x14ac:dyDescent="0.2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6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7">
        <v>3215.15</v>
      </c>
    </row>
    <row r="89" spans="1:14" x14ac:dyDescent="0.2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6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7">
        <v>675.33</v>
      </c>
    </row>
    <row r="90" spans="1:14" x14ac:dyDescent="0.2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6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7">
        <v>344.43</v>
      </c>
    </row>
    <row r="91" spans="1:14" x14ac:dyDescent="0.2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6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7">
        <v>2276.65</v>
      </c>
    </row>
    <row r="92" spans="1:14" x14ac:dyDescent="0.2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6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7">
        <v>728.32</v>
      </c>
    </row>
    <row r="93" spans="1:14" x14ac:dyDescent="0.2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6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7">
        <v>2463.75</v>
      </c>
    </row>
    <row r="94" spans="1:14" x14ac:dyDescent="0.2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6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7">
        <v>194.44</v>
      </c>
    </row>
    <row r="95" spans="1:14" x14ac:dyDescent="0.2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6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7">
        <v>1724.04</v>
      </c>
    </row>
    <row r="96" spans="1:14" x14ac:dyDescent="0.2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7">
        <v>531.17999999999995</v>
      </c>
    </row>
    <row r="97" spans="1:14" x14ac:dyDescent="0.2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6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7">
        <v>470.04</v>
      </c>
    </row>
    <row r="98" spans="1:14" x14ac:dyDescent="0.2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6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7">
        <v>465.66</v>
      </c>
    </row>
    <row r="99" spans="1:14" x14ac:dyDescent="0.2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6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7">
        <v>3097.6</v>
      </c>
    </row>
    <row r="100" spans="1:14" x14ac:dyDescent="0.2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6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7">
        <v>457.08</v>
      </c>
    </row>
    <row r="101" spans="1:14" x14ac:dyDescent="0.2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6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7">
        <v>201.58</v>
      </c>
    </row>
    <row r="102" spans="1:14" x14ac:dyDescent="0.2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6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7">
        <v>1994.37</v>
      </c>
    </row>
    <row r="103" spans="1:14" x14ac:dyDescent="0.2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6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7">
        <v>381.02</v>
      </c>
    </row>
    <row r="104" spans="1:14" x14ac:dyDescent="0.2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6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7">
        <v>140.68</v>
      </c>
    </row>
    <row r="105" spans="1:14" x14ac:dyDescent="0.2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6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7">
        <v>873.72</v>
      </c>
    </row>
    <row r="106" spans="1:14" x14ac:dyDescent="0.2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7">
        <v>582.04</v>
      </c>
    </row>
    <row r="107" spans="1:14" x14ac:dyDescent="0.2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6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7">
        <v>556.20000000000005</v>
      </c>
    </row>
    <row r="108" spans="1:14" x14ac:dyDescent="0.2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6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7">
        <v>1395.15</v>
      </c>
    </row>
    <row r="109" spans="1:14" x14ac:dyDescent="0.2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6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7">
        <v>3353.75</v>
      </c>
    </row>
    <row r="110" spans="1:14" x14ac:dyDescent="0.2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6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7">
        <v>241.9</v>
      </c>
    </row>
    <row r="111" spans="1:14" x14ac:dyDescent="0.2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6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7">
        <v>1778.61</v>
      </c>
    </row>
    <row r="112" spans="1:14" x14ac:dyDescent="0.2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6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7">
        <v>220.77</v>
      </c>
    </row>
    <row r="113" spans="1:14" x14ac:dyDescent="0.2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6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7">
        <v>927.66</v>
      </c>
    </row>
    <row r="114" spans="1:14" x14ac:dyDescent="0.2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6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7">
        <v>410.6</v>
      </c>
    </row>
    <row r="115" spans="1:14" x14ac:dyDescent="0.2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6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7">
        <v>950.4</v>
      </c>
    </row>
    <row r="116" spans="1:14" x14ac:dyDescent="0.2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7">
        <v>2492.4</v>
      </c>
    </row>
    <row r="117" spans="1:14" x14ac:dyDescent="0.2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6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7">
        <v>1874.95</v>
      </c>
    </row>
    <row r="118" spans="1:14" x14ac:dyDescent="0.2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6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7">
        <v>1165.4000000000001</v>
      </c>
    </row>
    <row r="119" spans="1:14" x14ac:dyDescent="0.2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6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7">
        <v>535.5</v>
      </c>
    </row>
    <row r="120" spans="1:14" x14ac:dyDescent="0.2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6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7">
        <v>2513.5500000000002</v>
      </c>
    </row>
    <row r="121" spans="1:14" x14ac:dyDescent="0.2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6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7">
        <v>1069.3399999999999</v>
      </c>
    </row>
    <row r="122" spans="1:14" x14ac:dyDescent="0.2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6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7">
        <v>2517.36</v>
      </c>
    </row>
    <row r="123" spans="1:14" x14ac:dyDescent="0.2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6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7">
        <v>410.78</v>
      </c>
    </row>
    <row r="124" spans="1:14" x14ac:dyDescent="0.2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6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7">
        <v>1066.04</v>
      </c>
    </row>
    <row r="125" spans="1:14" x14ac:dyDescent="0.2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6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7">
        <v>834.12</v>
      </c>
    </row>
    <row r="126" spans="1:14" x14ac:dyDescent="0.2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7">
        <v>1135.1600000000001</v>
      </c>
    </row>
    <row r="127" spans="1:14" x14ac:dyDescent="0.2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6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7">
        <v>1025.3</v>
      </c>
    </row>
    <row r="128" spans="1:14" x14ac:dyDescent="0.2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6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7">
        <v>1102</v>
      </c>
    </row>
    <row r="129" spans="1:14" x14ac:dyDescent="0.2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6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7">
        <v>1407.96</v>
      </c>
    </row>
    <row r="130" spans="1:14" x14ac:dyDescent="0.2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6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7">
        <v>84.28</v>
      </c>
    </row>
    <row r="131" spans="1:14" x14ac:dyDescent="0.2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6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7">
        <v>1055.72</v>
      </c>
    </row>
    <row r="132" spans="1:14" x14ac:dyDescent="0.2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6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7">
        <v>1503.9</v>
      </c>
    </row>
    <row r="133" spans="1:14" x14ac:dyDescent="0.2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6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7">
        <v>84.8</v>
      </c>
    </row>
    <row r="134" spans="1:14" x14ac:dyDescent="0.2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6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7">
        <v>1803</v>
      </c>
    </row>
    <row r="135" spans="1:14" x14ac:dyDescent="0.2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6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7">
        <v>1208.2</v>
      </c>
    </row>
    <row r="136" spans="1:14" x14ac:dyDescent="0.2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7">
        <v>399.4</v>
      </c>
    </row>
    <row r="137" spans="1:14" x14ac:dyDescent="0.2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6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7">
        <v>137.62</v>
      </c>
    </row>
    <row r="138" spans="1:14" x14ac:dyDescent="0.2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6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7">
        <v>44.35</v>
      </c>
    </row>
    <row r="139" spans="1:14" x14ac:dyDescent="0.2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6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7">
        <v>501.96</v>
      </c>
    </row>
    <row r="140" spans="1:14" x14ac:dyDescent="0.2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6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7">
        <v>298.06</v>
      </c>
    </row>
    <row r="141" spans="1:14" x14ac:dyDescent="0.2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6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7">
        <v>583.9</v>
      </c>
    </row>
    <row r="142" spans="1:14" x14ac:dyDescent="0.2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6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7">
        <v>1584.42</v>
      </c>
    </row>
    <row r="143" spans="1:14" x14ac:dyDescent="0.2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6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7">
        <v>2052.42</v>
      </c>
    </row>
    <row r="144" spans="1:14" x14ac:dyDescent="0.2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6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7">
        <v>1363.85</v>
      </c>
    </row>
    <row r="145" spans="1:14" x14ac:dyDescent="0.2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6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7">
        <v>1600.28</v>
      </c>
    </row>
    <row r="146" spans="1:14" x14ac:dyDescent="0.2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7">
        <v>1098.9000000000001</v>
      </c>
    </row>
    <row r="147" spans="1:14" x14ac:dyDescent="0.2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6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7">
        <v>440.73</v>
      </c>
    </row>
    <row r="148" spans="1:14" x14ac:dyDescent="0.2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6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7">
        <v>822.98</v>
      </c>
    </row>
    <row r="149" spans="1:14" x14ac:dyDescent="0.2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6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7">
        <v>930.36</v>
      </c>
    </row>
    <row r="150" spans="1:14" x14ac:dyDescent="0.2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6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7">
        <v>639.82000000000005</v>
      </c>
    </row>
    <row r="151" spans="1:14" x14ac:dyDescent="0.2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6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7">
        <v>217.56</v>
      </c>
    </row>
    <row r="152" spans="1:14" x14ac:dyDescent="0.2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6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7">
        <v>211.14</v>
      </c>
    </row>
    <row r="153" spans="1:14" x14ac:dyDescent="0.2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6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7">
        <v>2223.8000000000002</v>
      </c>
    </row>
    <row r="154" spans="1:14" x14ac:dyDescent="0.2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6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7">
        <v>798.08</v>
      </c>
    </row>
    <row r="155" spans="1:14" x14ac:dyDescent="0.2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6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7">
        <v>2137.92</v>
      </c>
    </row>
    <row r="156" spans="1:14" x14ac:dyDescent="0.2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7">
        <v>1632.84</v>
      </c>
    </row>
    <row r="157" spans="1:14" x14ac:dyDescent="0.2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6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7">
        <v>424.4</v>
      </c>
    </row>
    <row r="158" spans="1:14" x14ac:dyDescent="0.2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6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7">
        <v>539.66</v>
      </c>
    </row>
    <row r="159" spans="1:14" x14ac:dyDescent="0.2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6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7">
        <v>1129.1600000000001</v>
      </c>
    </row>
    <row r="160" spans="1:14" x14ac:dyDescent="0.2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6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7">
        <v>331.06</v>
      </c>
    </row>
    <row r="161" spans="1:14" x14ac:dyDescent="0.2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6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7">
        <v>299.35000000000002</v>
      </c>
    </row>
    <row r="162" spans="1:14" x14ac:dyDescent="0.2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6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7">
        <v>405.28</v>
      </c>
    </row>
    <row r="163" spans="1:14" x14ac:dyDescent="0.2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6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7">
        <v>211.14</v>
      </c>
    </row>
    <row r="164" spans="1:14" x14ac:dyDescent="0.2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6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7">
        <v>197.58</v>
      </c>
    </row>
    <row r="165" spans="1:14" x14ac:dyDescent="0.2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6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7">
        <v>641.39</v>
      </c>
    </row>
    <row r="166" spans="1:14" x14ac:dyDescent="0.2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7">
        <v>2682.9</v>
      </c>
    </row>
    <row r="167" spans="1:14" x14ac:dyDescent="0.2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6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7">
        <v>1000.58</v>
      </c>
    </row>
    <row r="168" spans="1:14" x14ac:dyDescent="0.2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6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7">
        <v>258.87</v>
      </c>
    </row>
    <row r="169" spans="1:14" x14ac:dyDescent="0.2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6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7">
        <v>768.28</v>
      </c>
    </row>
    <row r="170" spans="1:14" x14ac:dyDescent="0.2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6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7">
        <v>594.96</v>
      </c>
    </row>
    <row r="171" spans="1:14" x14ac:dyDescent="0.2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6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7">
        <v>427.82</v>
      </c>
    </row>
    <row r="172" spans="1:14" x14ac:dyDescent="0.2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6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7">
        <v>2651.76</v>
      </c>
    </row>
    <row r="173" spans="1:14" x14ac:dyDescent="0.2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6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7">
        <v>296.44</v>
      </c>
    </row>
    <row r="174" spans="1:14" x14ac:dyDescent="0.2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6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7">
        <v>254.12</v>
      </c>
    </row>
    <row r="175" spans="1:14" x14ac:dyDescent="0.2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6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7">
        <v>1993.38</v>
      </c>
    </row>
    <row r="176" spans="1:14" x14ac:dyDescent="0.2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7">
        <v>2403.2399999999998</v>
      </c>
    </row>
    <row r="177" spans="1:14" x14ac:dyDescent="0.2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6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7">
        <v>341.7</v>
      </c>
    </row>
    <row r="178" spans="1:14" x14ac:dyDescent="0.2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6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7">
        <v>1723.32</v>
      </c>
    </row>
    <row r="179" spans="1:14" x14ac:dyDescent="0.2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6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7">
        <v>2158.4499999999998</v>
      </c>
    </row>
    <row r="180" spans="1:14" x14ac:dyDescent="0.2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6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7">
        <v>2048.2399999999998</v>
      </c>
    </row>
    <row r="181" spans="1:14" x14ac:dyDescent="0.2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6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7">
        <v>1619.73</v>
      </c>
    </row>
    <row r="182" spans="1:14" x14ac:dyDescent="0.2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6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7">
        <v>1580.35</v>
      </c>
    </row>
    <row r="183" spans="1:14" x14ac:dyDescent="0.2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6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7">
        <v>2021.95</v>
      </c>
    </row>
    <row r="184" spans="1:14" x14ac:dyDescent="0.2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6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7">
        <v>600.54</v>
      </c>
    </row>
    <row r="185" spans="1:14" x14ac:dyDescent="0.2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6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7">
        <v>931.4</v>
      </c>
    </row>
    <row r="186" spans="1:14" x14ac:dyDescent="0.2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7">
        <v>858.16</v>
      </c>
    </row>
    <row r="187" spans="1:14" x14ac:dyDescent="0.2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6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7">
        <v>210.7</v>
      </c>
    </row>
    <row r="188" spans="1:14" x14ac:dyDescent="0.2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6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7">
        <v>267.10000000000002</v>
      </c>
    </row>
    <row r="189" spans="1:14" x14ac:dyDescent="0.2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6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7">
        <v>590.87</v>
      </c>
    </row>
    <row r="190" spans="1:14" x14ac:dyDescent="0.2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6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7">
        <v>727.82</v>
      </c>
    </row>
    <row r="191" spans="1:14" x14ac:dyDescent="0.2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6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7">
        <v>2147.25</v>
      </c>
    </row>
    <row r="192" spans="1:14" x14ac:dyDescent="0.2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6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7">
        <v>671.1</v>
      </c>
    </row>
    <row r="193" spans="1:14" x14ac:dyDescent="0.2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6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7">
        <v>977.74</v>
      </c>
    </row>
    <row r="194" spans="1:14" x14ac:dyDescent="0.2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6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7">
        <v>645.46</v>
      </c>
    </row>
    <row r="195" spans="1:14" x14ac:dyDescent="0.2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6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7">
        <v>46.66</v>
      </c>
    </row>
    <row r="196" spans="1:14" x14ac:dyDescent="0.2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7">
        <v>249.57</v>
      </c>
    </row>
    <row r="197" spans="1:14" x14ac:dyDescent="0.2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6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7">
        <v>1857.63</v>
      </c>
    </row>
    <row r="198" spans="1:14" x14ac:dyDescent="0.2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6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7">
        <v>868.52</v>
      </c>
    </row>
    <row r="199" spans="1:14" x14ac:dyDescent="0.2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6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7">
        <v>1107.55</v>
      </c>
    </row>
    <row r="200" spans="1:14" x14ac:dyDescent="0.2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6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7">
        <v>1361.2</v>
      </c>
    </row>
    <row r="201" spans="1:14" x14ac:dyDescent="0.2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6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7">
        <v>625</v>
      </c>
    </row>
    <row r="202" spans="1:14" x14ac:dyDescent="0.2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6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7">
        <v>2166.3000000000002</v>
      </c>
    </row>
    <row r="203" spans="1:14" x14ac:dyDescent="0.2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6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7">
        <v>1349.8</v>
      </c>
    </row>
    <row r="204" spans="1:14" x14ac:dyDescent="0.2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6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7">
        <v>761.94</v>
      </c>
    </row>
    <row r="205" spans="1:14" x14ac:dyDescent="0.2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6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7">
        <v>1070.52</v>
      </c>
    </row>
    <row r="206" spans="1:14" x14ac:dyDescent="0.2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7">
        <v>1654.84</v>
      </c>
    </row>
    <row r="207" spans="1:14" x14ac:dyDescent="0.2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6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7">
        <v>442.17</v>
      </c>
    </row>
    <row r="208" spans="1:14" x14ac:dyDescent="0.2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6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7">
        <v>916.4</v>
      </c>
    </row>
    <row r="209" spans="1:14" x14ac:dyDescent="0.2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6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7">
        <v>121.96</v>
      </c>
    </row>
    <row r="210" spans="1:14" x14ac:dyDescent="0.2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6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7">
        <v>816.64</v>
      </c>
    </row>
    <row r="211" spans="1:14" x14ac:dyDescent="0.2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6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7">
        <v>939.85</v>
      </c>
    </row>
    <row r="212" spans="1:14" x14ac:dyDescent="0.2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6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7">
        <v>1075.44</v>
      </c>
    </row>
    <row r="213" spans="1:14" x14ac:dyDescent="0.2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6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7">
        <v>580.74</v>
      </c>
    </row>
    <row r="214" spans="1:14" x14ac:dyDescent="0.2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6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7">
        <v>265.38</v>
      </c>
    </row>
    <row r="215" spans="1:14" x14ac:dyDescent="0.2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6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7">
        <v>634.4</v>
      </c>
    </row>
    <row r="216" spans="1:14" x14ac:dyDescent="0.2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7">
        <v>1222.8800000000001</v>
      </c>
    </row>
    <row r="217" spans="1:14" x14ac:dyDescent="0.2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6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7">
        <v>303.60000000000002</v>
      </c>
    </row>
    <row r="218" spans="1:14" x14ac:dyDescent="0.2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6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7">
        <v>1984</v>
      </c>
    </row>
    <row r="219" spans="1:14" x14ac:dyDescent="0.2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6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7">
        <v>1286.04</v>
      </c>
    </row>
    <row r="220" spans="1:14" x14ac:dyDescent="0.2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6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7">
        <v>337.38</v>
      </c>
    </row>
    <row r="221" spans="1:14" x14ac:dyDescent="0.2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6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7">
        <v>309.85000000000002</v>
      </c>
    </row>
    <row r="222" spans="1:14" x14ac:dyDescent="0.2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6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7">
        <v>746.34</v>
      </c>
    </row>
    <row r="223" spans="1:14" x14ac:dyDescent="0.2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6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7">
        <v>3196.85</v>
      </c>
    </row>
    <row r="224" spans="1:14" x14ac:dyDescent="0.2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6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7">
        <v>2773.44</v>
      </c>
    </row>
    <row r="225" spans="1:14" x14ac:dyDescent="0.2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6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7">
        <v>2771.64</v>
      </c>
    </row>
    <row r="226" spans="1:14" x14ac:dyDescent="0.2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7">
        <v>365.84</v>
      </c>
    </row>
    <row r="227" spans="1:14" x14ac:dyDescent="0.2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6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7">
        <v>821.88</v>
      </c>
    </row>
    <row r="228" spans="1:14" x14ac:dyDescent="0.2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6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7">
        <v>1764.15</v>
      </c>
    </row>
    <row r="229" spans="1:14" x14ac:dyDescent="0.2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6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7">
        <v>730.34</v>
      </c>
    </row>
    <row r="230" spans="1:14" x14ac:dyDescent="0.2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6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7">
        <v>1543.68</v>
      </c>
    </row>
    <row r="231" spans="1:14" x14ac:dyDescent="0.2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6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7">
        <v>562.61</v>
      </c>
    </row>
    <row r="232" spans="1:14" x14ac:dyDescent="0.2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6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7">
        <v>247.64</v>
      </c>
    </row>
    <row r="233" spans="1:14" x14ac:dyDescent="0.2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6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7">
        <v>167.6</v>
      </c>
    </row>
    <row r="234" spans="1:14" x14ac:dyDescent="0.2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6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7">
        <v>1777.76</v>
      </c>
    </row>
    <row r="235" spans="1:14" x14ac:dyDescent="0.2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6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7">
        <v>933.99</v>
      </c>
    </row>
    <row r="236" spans="1:14" x14ac:dyDescent="0.2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7">
        <v>945.64</v>
      </c>
    </row>
    <row r="237" spans="1:14" x14ac:dyDescent="0.2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6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7">
        <v>65.45</v>
      </c>
    </row>
    <row r="238" spans="1:14" x14ac:dyDescent="0.2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6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7">
        <v>318.81</v>
      </c>
    </row>
    <row r="239" spans="1:14" x14ac:dyDescent="0.2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6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7">
        <v>1751.16</v>
      </c>
    </row>
    <row r="240" spans="1:14" x14ac:dyDescent="0.2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6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7">
        <v>1537.28</v>
      </c>
    </row>
    <row r="241" spans="1:14" x14ac:dyDescent="0.2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6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7">
        <v>1616.22</v>
      </c>
    </row>
    <row r="242" spans="1:14" x14ac:dyDescent="0.2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6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7">
        <v>17.239999999999998</v>
      </c>
    </row>
    <row r="243" spans="1:14" x14ac:dyDescent="0.2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6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7">
        <v>3078.35</v>
      </c>
    </row>
    <row r="244" spans="1:14" x14ac:dyDescent="0.2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6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7">
        <v>438.2</v>
      </c>
    </row>
    <row r="245" spans="1:14" x14ac:dyDescent="0.2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6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7">
        <v>289.32</v>
      </c>
    </row>
    <row r="246" spans="1:14" x14ac:dyDescent="0.2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7">
        <v>635.54</v>
      </c>
    </row>
    <row r="247" spans="1:14" x14ac:dyDescent="0.2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6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7">
        <v>223.3</v>
      </c>
    </row>
    <row r="248" spans="1:14" x14ac:dyDescent="0.2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6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7">
        <v>684.22</v>
      </c>
    </row>
    <row r="249" spans="1:14" x14ac:dyDescent="0.2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6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7">
        <v>441.8</v>
      </c>
    </row>
    <row r="250" spans="1:14" x14ac:dyDescent="0.2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6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7">
        <v>670.54</v>
      </c>
    </row>
    <row r="251" spans="1:14" x14ac:dyDescent="0.2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6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7">
        <v>546.19000000000005</v>
      </c>
    </row>
    <row r="252" spans="1:14" x14ac:dyDescent="0.2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6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7">
        <v>128.85</v>
      </c>
    </row>
    <row r="253" spans="1:14" x14ac:dyDescent="0.2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6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7">
        <v>58.76</v>
      </c>
    </row>
    <row r="254" spans="1:14" x14ac:dyDescent="0.2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6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7">
        <v>2673.44</v>
      </c>
    </row>
    <row r="255" spans="1:14" x14ac:dyDescent="0.2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6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7">
        <v>1654.96</v>
      </c>
    </row>
    <row r="256" spans="1:14" x14ac:dyDescent="0.2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7">
        <v>789.57</v>
      </c>
    </row>
    <row r="257" spans="1:14" x14ac:dyDescent="0.2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6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7">
        <v>263.95999999999998</v>
      </c>
    </row>
    <row r="258" spans="1:14" x14ac:dyDescent="0.2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6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7">
        <v>379.05</v>
      </c>
    </row>
    <row r="259" spans="1:14" x14ac:dyDescent="0.2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6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7">
        <v>406.22</v>
      </c>
    </row>
    <row r="260" spans="1:14" x14ac:dyDescent="0.2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6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7">
        <v>206.82</v>
      </c>
    </row>
    <row r="261" spans="1:14" x14ac:dyDescent="0.2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6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7">
        <v>1740.48</v>
      </c>
    </row>
    <row r="262" spans="1:14" x14ac:dyDescent="0.2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6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7">
        <v>815.58</v>
      </c>
    </row>
    <row r="263" spans="1:14" x14ac:dyDescent="0.2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6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7">
        <v>868.25</v>
      </c>
    </row>
    <row r="264" spans="1:14" x14ac:dyDescent="0.2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6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7">
        <v>996.28</v>
      </c>
    </row>
    <row r="265" spans="1:14" x14ac:dyDescent="0.2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6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7">
        <v>1739.4</v>
      </c>
    </row>
    <row r="266" spans="1:14" x14ac:dyDescent="0.2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7">
        <v>436.77</v>
      </c>
    </row>
    <row r="267" spans="1:14" x14ac:dyDescent="0.2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6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7">
        <v>572.13</v>
      </c>
    </row>
    <row r="268" spans="1:14" x14ac:dyDescent="0.2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6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7">
        <v>2332.2800000000002</v>
      </c>
    </row>
    <row r="269" spans="1:14" x14ac:dyDescent="0.2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6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7">
        <v>2342.5500000000002</v>
      </c>
    </row>
    <row r="270" spans="1:14" x14ac:dyDescent="0.2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6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7">
        <v>847.76</v>
      </c>
    </row>
    <row r="271" spans="1:14" x14ac:dyDescent="0.2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6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7">
        <v>2654.68</v>
      </c>
    </row>
    <row r="272" spans="1:14" x14ac:dyDescent="0.2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6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7">
        <v>1239.6400000000001</v>
      </c>
    </row>
    <row r="273" spans="1:14" x14ac:dyDescent="0.2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6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7">
        <v>542.07000000000005</v>
      </c>
    </row>
    <row r="274" spans="1:14" x14ac:dyDescent="0.2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6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7">
        <v>798.64</v>
      </c>
    </row>
    <row r="275" spans="1:14" x14ac:dyDescent="0.2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6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7">
        <v>476.5</v>
      </c>
    </row>
    <row r="276" spans="1:14" x14ac:dyDescent="0.2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7">
        <v>364.8</v>
      </c>
    </row>
    <row r="277" spans="1:14" x14ac:dyDescent="0.2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6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7">
        <v>130.13999999999999</v>
      </c>
    </row>
    <row r="278" spans="1:14" x14ac:dyDescent="0.2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6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7">
        <v>1201.1400000000001</v>
      </c>
    </row>
    <row r="279" spans="1:14" x14ac:dyDescent="0.2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6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7">
        <v>454.6</v>
      </c>
    </row>
    <row r="280" spans="1:14" x14ac:dyDescent="0.2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6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7">
        <v>1812.3</v>
      </c>
    </row>
    <row r="281" spans="1:14" x14ac:dyDescent="0.2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6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7">
        <v>165.03</v>
      </c>
    </row>
    <row r="282" spans="1:14" x14ac:dyDescent="0.2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6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7">
        <v>1213.8599999999999</v>
      </c>
    </row>
    <row r="283" spans="1:14" x14ac:dyDescent="0.2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6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7">
        <v>2619.16</v>
      </c>
    </row>
    <row r="284" spans="1:14" x14ac:dyDescent="0.2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6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7">
        <v>2551.16</v>
      </c>
    </row>
    <row r="285" spans="1:14" x14ac:dyDescent="0.2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6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7">
        <v>2161.3200000000002</v>
      </c>
    </row>
    <row r="286" spans="1:14" x14ac:dyDescent="0.2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7">
        <v>1040.8499999999999</v>
      </c>
    </row>
    <row r="287" spans="1:14" x14ac:dyDescent="0.2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6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7">
        <v>338.31</v>
      </c>
    </row>
    <row r="288" spans="1:14" x14ac:dyDescent="0.2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6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7">
        <v>418.35</v>
      </c>
    </row>
    <row r="289" spans="1:14" x14ac:dyDescent="0.2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6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7">
        <v>2620.7199999999998</v>
      </c>
    </row>
    <row r="290" spans="1:14" x14ac:dyDescent="0.2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6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7">
        <v>2051</v>
      </c>
    </row>
    <row r="291" spans="1:14" x14ac:dyDescent="0.2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6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7">
        <v>641.96</v>
      </c>
    </row>
    <row r="292" spans="1:14" x14ac:dyDescent="0.2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6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7">
        <v>299.7</v>
      </c>
    </row>
    <row r="293" spans="1:14" x14ac:dyDescent="0.2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6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7">
        <v>690.02</v>
      </c>
    </row>
    <row r="294" spans="1:14" x14ac:dyDescent="0.2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6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7">
        <v>65.95</v>
      </c>
    </row>
    <row r="295" spans="1:14" x14ac:dyDescent="0.2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6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7">
        <v>1852.16</v>
      </c>
    </row>
    <row r="296" spans="1:14" x14ac:dyDescent="0.2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7">
        <v>595.41999999999996</v>
      </c>
    </row>
    <row r="297" spans="1:14" x14ac:dyDescent="0.2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6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7">
        <v>537.4</v>
      </c>
    </row>
    <row r="298" spans="1:14" x14ac:dyDescent="0.2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6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7">
        <v>3194</v>
      </c>
    </row>
    <row r="299" spans="1:14" x14ac:dyDescent="0.2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6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7">
        <v>987.76</v>
      </c>
    </row>
    <row r="300" spans="1:14" x14ac:dyDescent="0.2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6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7">
        <v>1204.68</v>
      </c>
    </row>
    <row r="301" spans="1:14" x14ac:dyDescent="0.2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6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7">
        <v>278.66000000000003</v>
      </c>
    </row>
    <row r="302" spans="1:14" x14ac:dyDescent="0.2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6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7">
        <v>287.45999999999998</v>
      </c>
    </row>
    <row r="303" spans="1:14" x14ac:dyDescent="0.2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6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7">
        <v>583.99</v>
      </c>
    </row>
    <row r="304" spans="1:14" x14ac:dyDescent="0.2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6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7">
        <v>1406.22</v>
      </c>
    </row>
    <row r="305" spans="1:14" x14ac:dyDescent="0.2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6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7">
        <v>30.54</v>
      </c>
    </row>
    <row r="306" spans="1:14" x14ac:dyDescent="0.2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7">
        <v>2043.65</v>
      </c>
    </row>
    <row r="307" spans="1:14" x14ac:dyDescent="0.2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6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7">
        <v>507.56</v>
      </c>
    </row>
    <row r="308" spans="1:14" x14ac:dyDescent="0.2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6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7">
        <v>114.14</v>
      </c>
    </row>
    <row r="309" spans="1:14" x14ac:dyDescent="0.2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6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7">
        <v>1672.23</v>
      </c>
    </row>
    <row r="310" spans="1:14" x14ac:dyDescent="0.2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6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7">
        <v>1346.7</v>
      </c>
    </row>
    <row r="311" spans="1:14" x14ac:dyDescent="0.2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6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7">
        <v>2199.04</v>
      </c>
    </row>
    <row r="312" spans="1:14" x14ac:dyDescent="0.2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6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7">
        <v>397.44</v>
      </c>
    </row>
    <row r="313" spans="1:14" x14ac:dyDescent="0.2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6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7">
        <v>2446.85</v>
      </c>
    </row>
    <row r="314" spans="1:14" x14ac:dyDescent="0.2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6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7">
        <v>331.55</v>
      </c>
    </row>
    <row r="315" spans="1:14" x14ac:dyDescent="0.2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6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7">
        <v>868.6</v>
      </c>
    </row>
    <row r="316" spans="1:14" x14ac:dyDescent="0.2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7">
        <v>612.36</v>
      </c>
    </row>
    <row r="317" spans="1:14" x14ac:dyDescent="0.2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6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7">
        <v>458.35</v>
      </c>
    </row>
    <row r="318" spans="1:14" x14ac:dyDescent="0.2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6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7">
        <v>1101.1199999999999</v>
      </c>
    </row>
    <row r="319" spans="1:14" x14ac:dyDescent="0.2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6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7">
        <v>279.89999999999998</v>
      </c>
    </row>
    <row r="320" spans="1:14" x14ac:dyDescent="0.2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6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7">
        <v>446.16</v>
      </c>
    </row>
    <row r="321" spans="1:14" x14ac:dyDescent="0.2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6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7">
        <v>1126.1199999999999</v>
      </c>
    </row>
    <row r="322" spans="1:14" x14ac:dyDescent="0.2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6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7">
        <v>625.51</v>
      </c>
    </row>
    <row r="323" spans="1:14" x14ac:dyDescent="0.2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6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7">
        <v>609.16</v>
      </c>
    </row>
    <row r="324" spans="1:14" x14ac:dyDescent="0.2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6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7">
        <v>1159.0999999999999</v>
      </c>
    </row>
    <row r="325" spans="1:14" x14ac:dyDescent="0.2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6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7">
        <v>150.16999999999999</v>
      </c>
    </row>
    <row r="326" spans="1:14" x14ac:dyDescent="0.2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7">
        <v>212.79</v>
      </c>
    </row>
    <row r="327" spans="1:14" x14ac:dyDescent="0.2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6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7">
        <v>1084.17</v>
      </c>
    </row>
    <row r="328" spans="1:14" x14ac:dyDescent="0.2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6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7">
        <v>3352.4</v>
      </c>
    </row>
    <row r="329" spans="1:14" x14ac:dyDescent="0.2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6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7">
        <v>359.99</v>
      </c>
    </row>
    <row r="330" spans="1:14" x14ac:dyDescent="0.2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6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7">
        <v>3370.2</v>
      </c>
    </row>
    <row r="331" spans="1:14" x14ac:dyDescent="0.2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6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7">
        <v>1132.6400000000001</v>
      </c>
    </row>
    <row r="332" spans="1:14" x14ac:dyDescent="0.2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6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7">
        <v>1302.6500000000001</v>
      </c>
    </row>
    <row r="333" spans="1:14" x14ac:dyDescent="0.2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6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7">
        <v>1266.3900000000001</v>
      </c>
    </row>
    <row r="334" spans="1:14" x14ac:dyDescent="0.2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6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7">
        <v>625.1</v>
      </c>
    </row>
    <row r="335" spans="1:14" x14ac:dyDescent="0.2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6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7">
        <v>198.51</v>
      </c>
    </row>
    <row r="336" spans="1:14" x14ac:dyDescent="0.2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7">
        <v>899</v>
      </c>
    </row>
    <row r="337" spans="1:14" x14ac:dyDescent="0.2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6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7">
        <v>617.58000000000004</v>
      </c>
    </row>
    <row r="338" spans="1:14" x14ac:dyDescent="0.2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6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7">
        <v>18.2</v>
      </c>
    </row>
    <row r="339" spans="1:14" x14ac:dyDescent="0.2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6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7">
        <v>1508.31</v>
      </c>
    </row>
    <row r="340" spans="1:14" x14ac:dyDescent="0.2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6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7">
        <v>1527.45</v>
      </c>
    </row>
    <row r="341" spans="1:14" x14ac:dyDescent="0.2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6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7">
        <v>472.66</v>
      </c>
    </row>
    <row r="342" spans="1:14" x14ac:dyDescent="0.2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6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7">
        <v>2606.25</v>
      </c>
    </row>
    <row r="343" spans="1:14" x14ac:dyDescent="0.2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6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7">
        <v>167.15</v>
      </c>
    </row>
    <row r="344" spans="1:14" x14ac:dyDescent="0.2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6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7">
        <v>2332.1</v>
      </c>
    </row>
    <row r="345" spans="1:14" x14ac:dyDescent="0.2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6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7">
        <v>527.57000000000005</v>
      </c>
    </row>
    <row r="346" spans="1:14" x14ac:dyDescent="0.2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7">
        <v>1870.02</v>
      </c>
    </row>
    <row r="347" spans="1:14" x14ac:dyDescent="0.2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6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7">
        <v>2506.3000000000002</v>
      </c>
    </row>
    <row r="348" spans="1:14" x14ac:dyDescent="0.2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6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7">
        <v>655.09</v>
      </c>
    </row>
    <row r="349" spans="1:14" x14ac:dyDescent="0.2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6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7">
        <v>1059.1600000000001</v>
      </c>
    </row>
    <row r="350" spans="1:14" x14ac:dyDescent="0.2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6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7">
        <v>1079.19</v>
      </c>
    </row>
    <row r="351" spans="1:14" x14ac:dyDescent="0.2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6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7">
        <v>465.33</v>
      </c>
    </row>
    <row r="352" spans="1:14" x14ac:dyDescent="0.2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6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7">
        <v>108.82</v>
      </c>
    </row>
    <row r="353" spans="1:14" x14ac:dyDescent="0.2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6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7">
        <v>64.66</v>
      </c>
    </row>
    <row r="354" spans="1:14" x14ac:dyDescent="0.2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6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7">
        <v>869.8</v>
      </c>
    </row>
    <row r="355" spans="1:14" x14ac:dyDescent="0.2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6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7">
        <v>630.82000000000005</v>
      </c>
    </row>
    <row r="356" spans="1:14" x14ac:dyDescent="0.2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7">
        <v>693.41</v>
      </c>
    </row>
    <row r="357" spans="1:14" x14ac:dyDescent="0.2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6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7">
        <v>1299.99</v>
      </c>
    </row>
    <row r="358" spans="1:14" x14ac:dyDescent="0.2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6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7">
        <v>1872.9</v>
      </c>
    </row>
    <row r="359" spans="1:14" x14ac:dyDescent="0.2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6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7">
        <v>2042.8</v>
      </c>
    </row>
    <row r="360" spans="1:14" x14ac:dyDescent="0.2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6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7">
        <v>367.34</v>
      </c>
    </row>
    <row r="361" spans="1:14" x14ac:dyDescent="0.2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6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7">
        <v>2426.2800000000002</v>
      </c>
    </row>
    <row r="362" spans="1:14" x14ac:dyDescent="0.2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6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7">
        <v>2358.2800000000002</v>
      </c>
    </row>
    <row r="363" spans="1:14" x14ac:dyDescent="0.2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6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7">
        <v>3299.25</v>
      </c>
    </row>
    <row r="364" spans="1:14" x14ac:dyDescent="0.2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6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7">
        <v>827.36</v>
      </c>
    </row>
    <row r="365" spans="1:14" x14ac:dyDescent="0.2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6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7">
        <v>569.35</v>
      </c>
    </row>
    <row r="366" spans="1:14" x14ac:dyDescent="0.2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7">
        <v>3143.7</v>
      </c>
    </row>
    <row r="367" spans="1:14" x14ac:dyDescent="0.2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6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7">
        <v>678.38</v>
      </c>
    </row>
    <row r="368" spans="1:14" x14ac:dyDescent="0.2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6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7">
        <v>1806.72</v>
      </c>
    </row>
    <row r="369" spans="1:14" x14ac:dyDescent="0.2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6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7">
        <v>3293.85</v>
      </c>
    </row>
    <row r="370" spans="1:14" x14ac:dyDescent="0.2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6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7">
        <v>813.06</v>
      </c>
    </row>
    <row r="371" spans="1:14" x14ac:dyDescent="0.2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6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7">
        <v>1876.25</v>
      </c>
    </row>
    <row r="372" spans="1:14" x14ac:dyDescent="0.2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6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7">
        <v>312.11</v>
      </c>
    </row>
    <row r="373" spans="1:14" x14ac:dyDescent="0.2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6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7">
        <v>1538.8</v>
      </c>
    </row>
    <row r="374" spans="1:14" x14ac:dyDescent="0.2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6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7">
        <v>1450.59</v>
      </c>
    </row>
    <row r="375" spans="1:14" x14ac:dyDescent="0.2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6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7">
        <v>1023.45</v>
      </c>
    </row>
    <row r="376" spans="1:14" x14ac:dyDescent="0.2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7">
        <v>571.9</v>
      </c>
    </row>
    <row r="377" spans="1:14" x14ac:dyDescent="0.2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6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7">
        <v>380.12</v>
      </c>
    </row>
    <row r="378" spans="1:14" x14ac:dyDescent="0.2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6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7">
        <v>1006.1</v>
      </c>
    </row>
    <row r="379" spans="1:14" x14ac:dyDescent="0.2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6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7">
        <v>260.26</v>
      </c>
    </row>
    <row r="380" spans="1:14" x14ac:dyDescent="0.2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6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7">
        <v>322.5</v>
      </c>
    </row>
    <row r="381" spans="1:14" x14ac:dyDescent="0.2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6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7">
        <v>893.01</v>
      </c>
    </row>
    <row r="382" spans="1:14" x14ac:dyDescent="0.2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6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7">
        <v>1327.6</v>
      </c>
    </row>
    <row r="383" spans="1:14" x14ac:dyDescent="0.2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6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7">
        <v>191.76</v>
      </c>
    </row>
    <row r="384" spans="1:14" x14ac:dyDescent="0.2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6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7">
        <v>1052.3599999999999</v>
      </c>
    </row>
    <row r="385" spans="1:14" x14ac:dyDescent="0.2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6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7">
        <v>1575.2</v>
      </c>
    </row>
    <row r="386" spans="1:14" x14ac:dyDescent="0.2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7">
        <v>1660.71</v>
      </c>
    </row>
    <row r="387" spans="1:14" x14ac:dyDescent="0.2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6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7">
        <v>958.15</v>
      </c>
    </row>
    <row r="388" spans="1:14" x14ac:dyDescent="0.2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6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7">
        <v>93.02</v>
      </c>
    </row>
    <row r="389" spans="1:14" x14ac:dyDescent="0.2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6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7">
        <v>79.06</v>
      </c>
    </row>
    <row r="390" spans="1:14" x14ac:dyDescent="0.2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6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7">
        <v>1901.91</v>
      </c>
    </row>
    <row r="391" spans="1:14" x14ac:dyDescent="0.2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6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7">
        <v>2790</v>
      </c>
    </row>
    <row r="392" spans="1:14" x14ac:dyDescent="0.2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6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7">
        <v>2543.4499999999998</v>
      </c>
    </row>
    <row r="393" spans="1:14" x14ac:dyDescent="0.2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6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7">
        <v>1054.92</v>
      </c>
    </row>
    <row r="394" spans="1:14" x14ac:dyDescent="0.2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6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7">
        <v>627.20000000000005</v>
      </c>
    </row>
    <row r="395" spans="1:14" x14ac:dyDescent="0.2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6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7">
        <v>75.010000000000005</v>
      </c>
    </row>
    <row r="396" spans="1:14" x14ac:dyDescent="0.2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7">
        <v>2647.75</v>
      </c>
    </row>
    <row r="397" spans="1:14" x14ac:dyDescent="0.2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6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7">
        <v>382.23</v>
      </c>
    </row>
    <row r="398" spans="1:14" x14ac:dyDescent="0.2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6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7">
        <v>1435.65</v>
      </c>
    </row>
    <row r="399" spans="1:14" x14ac:dyDescent="0.2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6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7">
        <v>427.06</v>
      </c>
    </row>
    <row r="400" spans="1:14" x14ac:dyDescent="0.2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6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7">
        <v>269.64999999999998</v>
      </c>
    </row>
    <row r="401" spans="1:14" x14ac:dyDescent="0.2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6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7">
        <v>2119.65</v>
      </c>
    </row>
    <row r="402" spans="1:14" x14ac:dyDescent="0.2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6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7">
        <v>640.88</v>
      </c>
    </row>
    <row r="403" spans="1:14" x14ac:dyDescent="0.2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6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7">
        <v>538.67999999999995</v>
      </c>
    </row>
    <row r="404" spans="1:14" x14ac:dyDescent="0.2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6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7">
        <v>1686.9</v>
      </c>
    </row>
    <row r="405" spans="1:14" x14ac:dyDescent="0.2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6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7">
        <v>620.21</v>
      </c>
    </row>
    <row r="406" spans="1:14" x14ac:dyDescent="0.2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7">
        <v>198.2</v>
      </c>
    </row>
    <row r="407" spans="1:14" x14ac:dyDescent="0.2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6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7">
        <v>1807.88</v>
      </c>
    </row>
    <row r="408" spans="1:14" x14ac:dyDescent="0.2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6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7">
        <v>264.39999999999998</v>
      </c>
    </row>
    <row r="409" spans="1:14" x14ac:dyDescent="0.2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6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7">
        <v>2189.2800000000002</v>
      </c>
    </row>
    <row r="410" spans="1:14" x14ac:dyDescent="0.2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6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7">
        <v>1237.5899999999999</v>
      </c>
    </row>
    <row r="411" spans="1:14" x14ac:dyDescent="0.2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6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7">
        <v>420.65</v>
      </c>
    </row>
    <row r="412" spans="1:14" x14ac:dyDescent="0.2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6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7">
        <v>1036.46</v>
      </c>
    </row>
    <row r="413" spans="1:14" x14ac:dyDescent="0.2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6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7">
        <v>79.02</v>
      </c>
    </row>
    <row r="414" spans="1:14" x14ac:dyDescent="0.2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6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7">
        <v>665.05</v>
      </c>
    </row>
    <row r="415" spans="1:14" x14ac:dyDescent="0.2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6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7">
        <v>118.8</v>
      </c>
    </row>
    <row r="416" spans="1:14" x14ac:dyDescent="0.2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7">
        <v>279.14</v>
      </c>
    </row>
    <row r="417" spans="1:14" x14ac:dyDescent="0.2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6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7">
        <v>184.15</v>
      </c>
    </row>
    <row r="418" spans="1:14" x14ac:dyDescent="0.2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6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7">
        <v>1288.0999999999999</v>
      </c>
    </row>
    <row r="419" spans="1:14" x14ac:dyDescent="0.2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6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7">
        <v>277.05</v>
      </c>
    </row>
    <row r="420" spans="1:14" x14ac:dyDescent="0.2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6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7">
        <v>310.93</v>
      </c>
    </row>
    <row r="421" spans="1:14" x14ac:dyDescent="0.2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6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7">
        <v>433.32</v>
      </c>
    </row>
    <row r="422" spans="1:14" x14ac:dyDescent="0.2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6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7">
        <v>452.7</v>
      </c>
    </row>
    <row r="423" spans="1:14" x14ac:dyDescent="0.2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6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7">
        <v>576.41999999999996</v>
      </c>
    </row>
    <row r="424" spans="1:14" x14ac:dyDescent="0.2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6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7">
        <v>826.4</v>
      </c>
    </row>
    <row r="425" spans="1:14" x14ac:dyDescent="0.2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6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7">
        <v>2740.8</v>
      </c>
    </row>
    <row r="426" spans="1:14" x14ac:dyDescent="0.2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7">
        <v>114.7</v>
      </c>
    </row>
    <row r="427" spans="1:14" x14ac:dyDescent="0.2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6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7">
        <v>603.76</v>
      </c>
    </row>
    <row r="428" spans="1:14" x14ac:dyDescent="0.2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6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7">
        <v>287.25</v>
      </c>
    </row>
    <row r="429" spans="1:14" x14ac:dyDescent="0.2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6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7">
        <v>161.24</v>
      </c>
    </row>
    <row r="430" spans="1:14" x14ac:dyDescent="0.2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6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7">
        <v>1050.32</v>
      </c>
    </row>
    <row r="431" spans="1:14" x14ac:dyDescent="0.2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6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7">
        <v>2060.7600000000002</v>
      </c>
    </row>
    <row r="432" spans="1:14" x14ac:dyDescent="0.2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6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7">
        <v>450.07</v>
      </c>
    </row>
    <row r="433" spans="1:14" x14ac:dyDescent="0.2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6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7">
        <v>52.54</v>
      </c>
    </row>
    <row r="434" spans="1:14" x14ac:dyDescent="0.2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6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7">
        <v>848.64</v>
      </c>
    </row>
    <row r="435" spans="1:14" x14ac:dyDescent="0.2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6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7">
        <v>1894.92</v>
      </c>
    </row>
    <row r="436" spans="1:14" x14ac:dyDescent="0.2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7">
        <v>1638.4</v>
      </c>
    </row>
    <row r="437" spans="1:14" x14ac:dyDescent="0.2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6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7">
        <v>414.47</v>
      </c>
    </row>
    <row r="438" spans="1:14" x14ac:dyDescent="0.2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6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7">
        <v>885.32</v>
      </c>
    </row>
    <row r="439" spans="1:14" x14ac:dyDescent="0.2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6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7">
        <v>512.39</v>
      </c>
    </row>
    <row r="440" spans="1:14" x14ac:dyDescent="0.2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6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7">
        <v>1378.02</v>
      </c>
    </row>
    <row r="441" spans="1:14" x14ac:dyDescent="0.2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6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7">
        <v>146.32</v>
      </c>
    </row>
    <row r="442" spans="1:14" x14ac:dyDescent="0.2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6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7">
        <v>334.4</v>
      </c>
    </row>
    <row r="443" spans="1:14" x14ac:dyDescent="0.2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6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7">
        <v>657.08</v>
      </c>
    </row>
    <row r="444" spans="1:14" x14ac:dyDescent="0.2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6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7">
        <v>1574.7</v>
      </c>
    </row>
    <row r="445" spans="1:14" x14ac:dyDescent="0.2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6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7">
        <v>139.28</v>
      </c>
    </row>
    <row r="446" spans="1:14" x14ac:dyDescent="0.2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7">
        <v>135.16999999999999</v>
      </c>
    </row>
    <row r="447" spans="1:14" x14ac:dyDescent="0.2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6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7">
        <v>487.21</v>
      </c>
    </row>
    <row r="448" spans="1:14" x14ac:dyDescent="0.2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6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7">
        <v>2547.9</v>
      </c>
    </row>
    <row r="449" spans="1:14" x14ac:dyDescent="0.2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6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7">
        <v>833.62</v>
      </c>
    </row>
    <row r="450" spans="1:14" x14ac:dyDescent="0.2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6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7">
        <v>320</v>
      </c>
    </row>
    <row r="451" spans="1:14" x14ac:dyDescent="0.2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6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7">
        <v>759.15</v>
      </c>
    </row>
    <row r="452" spans="1:14" x14ac:dyDescent="0.2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6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7">
        <v>3075.5</v>
      </c>
    </row>
    <row r="453" spans="1:14" x14ac:dyDescent="0.2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6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7">
        <v>183.18</v>
      </c>
    </row>
    <row r="454" spans="1:14" x14ac:dyDescent="0.2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6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7">
        <v>75.78</v>
      </c>
    </row>
    <row r="455" spans="1:14" x14ac:dyDescent="0.2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6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7">
        <v>675.57</v>
      </c>
    </row>
    <row r="456" spans="1:14" x14ac:dyDescent="0.2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7">
        <v>109.29</v>
      </c>
    </row>
    <row r="457" spans="1:14" x14ac:dyDescent="0.2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6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7">
        <v>639.83000000000004</v>
      </c>
    </row>
    <row r="458" spans="1:14" x14ac:dyDescent="0.2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6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7">
        <v>314.05</v>
      </c>
    </row>
    <row r="459" spans="1:14" x14ac:dyDescent="0.2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6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7">
        <v>2463.3200000000002</v>
      </c>
    </row>
    <row r="460" spans="1:14" x14ac:dyDescent="0.2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6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7">
        <v>2042.32</v>
      </c>
    </row>
    <row r="461" spans="1:14" x14ac:dyDescent="0.2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6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7">
        <v>334.39</v>
      </c>
    </row>
    <row r="462" spans="1:14" x14ac:dyDescent="0.2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6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7">
        <v>144.25</v>
      </c>
    </row>
    <row r="463" spans="1:14" x14ac:dyDescent="0.2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6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7">
        <v>401.82</v>
      </c>
    </row>
    <row r="464" spans="1:14" x14ac:dyDescent="0.2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6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7">
        <v>252.68</v>
      </c>
    </row>
    <row r="465" spans="1:14" x14ac:dyDescent="0.2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6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7">
        <v>3313.9</v>
      </c>
    </row>
    <row r="466" spans="1:14" x14ac:dyDescent="0.2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7">
        <v>1737.68</v>
      </c>
    </row>
    <row r="467" spans="1:14" x14ac:dyDescent="0.2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6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7">
        <v>2567.4499999999998</v>
      </c>
    </row>
    <row r="468" spans="1:14" x14ac:dyDescent="0.2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6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7">
        <v>432.47</v>
      </c>
    </row>
    <row r="469" spans="1:14" x14ac:dyDescent="0.2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6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7">
        <v>45.94</v>
      </c>
    </row>
    <row r="470" spans="1:14" x14ac:dyDescent="0.2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6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7">
        <v>418.36</v>
      </c>
    </row>
    <row r="471" spans="1:14" x14ac:dyDescent="0.2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6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7">
        <v>3384.9</v>
      </c>
    </row>
    <row r="472" spans="1:14" x14ac:dyDescent="0.2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6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7">
        <v>1054.48</v>
      </c>
    </row>
    <row r="473" spans="1:14" x14ac:dyDescent="0.2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6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7">
        <v>2756.35</v>
      </c>
    </row>
    <row r="474" spans="1:14" x14ac:dyDescent="0.2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6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7">
        <v>1524.36</v>
      </c>
    </row>
    <row r="475" spans="1:14" x14ac:dyDescent="0.2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6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7">
        <v>29.86</v>
      </c>
    </row>
    <row r="476" spans="1:14" x14ac:dyDescent="0.2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7">
        <v>688.02</v>
      </c>
    </row>
    <row r="477" spans="1:14" x14ac:dyDescent="0.2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6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7">
        <v>877.24</v>
      </c>
    </row>
    <row r="478" spans="1:14" x14ac:dyDescent="0.2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6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7">
        <v>1027.18</v>
      </c>
    </row>
    <row r="479" spans="1:14" x14ac:dyDescent="0.2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6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7">
        <v>507.48</v>
      </c>
    </row>
    <row r="480" spans="1:14" x14ac:dyDescent="0.2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6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7">
        <v>188.31</v>
      </c>
    </row>
    <row r="481" spans="1:14" x14ac:dyDescent="0.2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6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7">
        <v>101.16</v>
      </c>
    </row>
    <row r="482" spans="1:14" x14ac:dyDescent="0.2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6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7">
        <v>335.1</v>
      </c>
    </row>
    <row r="483" spans="1:14" x14ac:dyDescent="0.2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6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7">
        <v>1939.4</v>
      </c>
    </row>
    <row r="484" spans="1:14" x14ac:dyDescent="0.2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6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7">
        <v>1144.23</v>
      </c>
    </row>
    <row r="485" spans="1:14" x14ac:dyDescent="0.2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6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7">
        <v>1739.6</v>
      </c>
    </row>
    <row r="486" spans="1:14" x14ac:dyDescent="0.2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7">
        <v>60.04</v>
      </c>
    </row>
    <row r="487" spans="1:14" x14ac:dyDescent="0.2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6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7">
        <v>1214.3699999999999</v>
      </c>
    </row>
    <row r="488" spans="1:14" x14ac:dyDescent="0.2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6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7">
        <v>2445.04</v>
      </c>
    </row>
    <row r="489" spans="1:14" x14ac:dyDescent="0.2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6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7">
        <v>1039.56</v>
      </c>
    </row>
    <row r="490" spans="1:14" x14ac:dyDescent="0.2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6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7">
        <v>36.65</v>
      </c>
    </row>
    <row r="491" spans="1:14" x14ac:dyDescent="0.2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6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7">
        <v>448.02</v>
      </c>
    </row>
    <row r="492" spans="1:14" x14ac:dyDescent="0.2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6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7">
        <v>2339.0500000000002</v>
      </c>
    </row>
    <row r="493" spans="1:14" x14ac:dyDescent="0.2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6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7">
        <v>2103.5</v>
      </c>
    </row>
    <row r="494" spans="1:14" x14ac:dyDescent="0.2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6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7">
        <v>3032.6</v>
      </c>
    </row>
    <row r="495" spans="1:14" x14ac:dyDescent="0.2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6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7">
        <v>420.26</v>
      </c>
    </row>
    <row r="496" spans="1:14" x14ac:dyDescent="0.2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7">
        <v>1517.37</v>
      </c>
    </row>
    <row r="497" spans="1:14" x14ac:dyDescent="0.2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6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7">
        <v>1974.92</v>
      </c>
    </row>
    <row r="498" spans="1:14" x14ac:dyDescent="0.2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6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7">
        <v>603.63</v>
      </c>
    </row>
    <row r="499" spans="1:14" x14ac:dyDescent="0.2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6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7">
        <v>336.87</v>
      </c>
    </row>
    <row r="500" spans="1:14" x14ac:dyDescent="0.2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6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7">
        <v>530.24</v>
      </c>
    </row>
    <row r="501" spans="1:14" x14ac:dyDescent="0.2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6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7">
        <v>1618.38</v>
      </c>
    </row>
    <row r="502" spans="1:14" x14ac:dyDescent="0.2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6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7">
        <v>2542.9499999999998</v>
      </c>
    </row>
    <row r="503" spans="1:14" x14ac:dyDescent="0.2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6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7">
        <v>813.84</v>
      </c>
    </row>
    <row r="504" spans="1:14" x14ac:dyDescent="0.2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6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7">
        <v>1695.75</v>
      </c>
    </row>
    <row r="505" spans="1:14" x14ac:dyDescent="0.2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6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7">
        <v>410.52</v>
      </c>
    </row>
    <row r="506" spans="1:14" x14ac:dyDescent="0.2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7">
        <v>929</v>
      </c>
    </row>
    <row r="507" spans="1:14" x14ac:dyDescent="0.2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6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7">
        <v>869.94</v>
      </c>
    </row>
    <row r="508" spans="1:14" x14ac:dyDescent="0.2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6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7">
        <v>87.34</v>
      </c>
    </row>
    <row r="509" spans="1:14" x14ac:dyDescent="0.2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6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7">
        <v>171.59</v>
      </c>
    </row>
    <row r="510" spans="1:14" x14ac:dyDescent="0.2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6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7">
        <v>558.27</v>
      </c>
    </row>
    <row r="511" spans="1:14" x14ac:dyDescent="0.2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6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7">
        <v>850.06</v>
      </c>
    </row>
    <row r="512" spans="1:14" x14ac:dyDescent="0.2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6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7">
        <v>376.76</v>
      </c>
    </row>
    <row r="513" spans="1:14" x14ac:dyDescent="0.2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6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7">
        <v>2876.2</v>
      </c>
    </row>
    <row r="514" spans="1:14" x14ac:dyDescent="0.2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6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7">
        <v>1704.06</v>
      </c>
    </row>
    <row r="515" spans="1:14" x14ac:dyDescent="0.2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6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7">
        <v>284.64</v>
      </c>
    </row>
    <row r="516" spans="1:14" x14ac:dyDescent="0.2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7">
        <v>912.45</v>
      </c>
    </row>
    <row r="517" spans="1:14" x14ac:dyDescent="0.2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6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7">
        <v>1660.56</v>
      </c>
    </row>
    <row r="518" spans="1:14" x14ac:dyDescent="0.2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6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7">
        <v>500.97</v>
      </c>
    </row>
    <row r="519" spans="1:14" x14ac:dyDescent="0.2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6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7">
        <v>793.4</v>
      </c>
    </row>
    <row r="520" spans="1:14" x14ac:dyDescent="0.2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6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7">
        <v>1614.32</v>
      </c>
    </row>
    <row r="521" spans="1:14" x14ac:dyDescent="0.2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6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7">
        <v>1857.16</v>
      </c>
    </row>
    <row r="522" spans="1:14" x14ac:dyDescent="0.2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6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7">
        <v>1907.94</v>
      </c>
    </row>
    <row r="523" spans="1:14" x14ac:dyDescent="0.2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6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7">
        <v>528.05999999999995</v>
      </c>
    </row>
    <row r="524" spans="1:14" x14ac:dyDescent="0.2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6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7">
        <v>515.32000000000005</v>
      </c>
    </row>
    <row r="525" spans="1:14" x14ac:dyDescent="0.2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6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7">
        <v>2631.16</v>
      </c>
    </row>
    <row r="526" spans="1:14" x14ac:dyDescent="0.2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7">
        <v>153</v>
      </c>
    </row>
    <row r="527" spans="1:14" x14ac:dyDescent="0.2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6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7">
        <v>668.48</v>
      </c>
    </row>
    <row r="528" spans="1:14" x14ac:dyDescent="0.2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6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7">
        <v>93</v>
      </c>
    </row>
    <row r="529" spans="1:14" x14ac:dyDescent="0.2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6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7">
        <v>3267.35</v>
      </c>
    </row>
    <row r="530" spans="1:14" x14ac:dyDescent="0.2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6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7">
        <v>628.89</v>
      </c>
    </row>
    <row r="531" spans="1:14" x14ac:dyDescent="0.2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6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7">
        <v>1350.2</v>
      </c>
    </row>
    <row r="532" spans="1:14" x14ac:dyDescent="0.2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6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7">
        <v>357.64</v>
      </c>
    </row>
    <row r="533" spans="1:14" x14ac:dyDescent="0.2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6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7">
        <v>1600.05</v>
      </c>
    </row>
    <row r="534" spans="1:14" x14ac:dyDescent="0.2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6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7">
        <v>82</v>
      </c>
    </row>
    <row r="535" spans="1:14" x14ac:dyDescent="0.2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6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7">
        <v>565.85</v>
      </c>
    </row>
    <row r="536" spans="1:14" x14ac:dyDescent="0.2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7">
        <v>1945.77</v>
      </c>
    </row>
    <row r="537" spans="1:14" x14ac:dyDescent="0.2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6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7">
        <v>204.36</v>
      </c>
    </row>
    <row r="538" spans="1:14" x14ac:dyDescent="0.2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6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7">
        <v>616.1</v>
      </c>
    </row>
    <row r="539" spans="1:14" x14ac:dyDescent="0.2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6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7">
        <v>742.41</v>
      </c>
    </row>
    <row r="540" spans="1:14" x14ac:dyDescent="0.2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6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7">
        <v>1472.22</v>
      </c>
    </row>
    <row r="541" spans="1:14" x14ac:dyDescent="0.2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6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7">
        <v>1595.16</v>
      </c>
    </row>
    <row r="542" spans="1:14" x14ac:dyDescent="0.2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6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7">
        <v>3243.25</v>
      </c>
    </row>
    <row r="543" spans="1:14" x14ac:dyDescent="0.2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6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7">
        <v>2280.3000000000002</v>
      </c>
    </row>
    <row r="544" spans="1:14" x14ac:dyDescent="0.2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6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7">
        <v>17.98</v>
      </c>
    </row>
    <row r="545" spans="1:14" x14ac:dyDescent="0.2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6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7">
        <v>1349.3</v>
      </c>
    </row>
    <row r="546" spans="1:14" x14ac:dyDescent="0.2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7">
        <v>159.80000000000001</v>
      </c>
    </row>
    <row r="547" spans="1:14" x14ac:dyDescent="0.2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6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7">
        <v>196.94</v>
      </c>
    </row>
    <row r="548" spans="1:14" x14ac:dyDescent="0.2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6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7">
        <v>158.68</v>
      </c>
    </row>
    <row r="549" spans="1:14" x14ac:dyDescent="0.2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6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7">
        <v>613.98</v>
      </c>
    </row>
    <row r="550" spans="1:14" x14ac:dyDescent="0.2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6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7">
        <v>1278.3599999999999</v>
      </c>
    </row>
    <row r="551" spans="1:14" x14ac:dyDescent="0.2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6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7">
        <v>2519.52</v>
      </c>
    </row>
    <row r="552" spans="1:14" x14ac:dyDescent="0.2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6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7">
        <v>915.64</v>
      </c>
    </row>
    <row r="553" spans="1:14" x14ac:dyDescent="0.2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6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7">
        <v>120.98</v>
      </c>
    </row>
    <row r="554" spans="1:14" x14ac:dyDescent="0.2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6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7">
        <v>1700.72</v>
      </c>
    </row>
    <row r="555" spans="1:14" x14ac:dyDescent="0.2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6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7">
        <v>667.66</v>
      </c>
    </row>
    <row r="556" spans="1:14" x14ac:dyDescent="0.2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7">
        <v>985.8</v>
      </c>
    </row>
    <row r="557" spans="1:14" x14ac:dyDescent="0.2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6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7">
        <v>92.04</v>
      </c>
    </row>
    <row r="558" spans="1:14" x14ac:dyDescent="0.2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6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7">
        <v>654.27</v>
      </c>
    </row>
    <row r="559" spans="1:14" x14ac:dyDescent="0.2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6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7">
        <v>56.2</v>
      </c>
    </row>
    <row r="560" spans="1:14" x14ac:dyDescent="0.2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6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7">
        <v>2512.48</v>
      </c>
    </row>
    <row r="561" spans="1:14" x14ac:dyDescent="0.2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6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7">
        <v>472.2</v>
      </c>
    </row>
    <row r="562" spans="1:14" x14ac:dyDescent="0.2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6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7">
        <v>2355.4</v>
      </c>
    </row>
    <row r="563" spans="1:14" x14ac:dyDescent="0.2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6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7">
        <v>989.56</v>
      </c>
    </row>
    <row r="564" spans="1:14" x14ac:dyDescent="0.2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6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7">
        <v>1991.79</v>
      </c>
    </row>
    <row r="565" spans="1:14" x14ac:dyDescent="0.2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6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7">
        <v>132.68</v>
      </c>
    </row>
    <row r="566" spans="1:14" x14ac:dyDescent="0.2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7">
        <v>1821.4</v>
      </c>
    </row>
    <row r="567" spans="1:14" x14ac:dyDescent="0.2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6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7">
        <v>1539.9</v>
      </c>
    </row>
    <row r="568" spans="1:14" x14ac:dyDescent="0.2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6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7">
        <v>650.84</v>
      </c>
    </row>
    <row r="569" spans="1:14" x14ac:dyDescent="0.2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6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7">
        <v>2464.6999999999998</v>
      </c>
    </row>
    <row r="570" spans="1:14" x14ac:dyDescent="0.2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6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7">
        <v>687.98</v>
      </c>
    </row>
    <row r="571" spans="1:14" x14ac:dyDescent="0.2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6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7">
        <v>1253.4000000000001</v>
      </c>
    </row>
    <row r="572" spans="1:14" x14ac:dyDescent="0.2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6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7">
        <v>724.28</v>
      </c>
    </row>
    <row r="573" spans="1:14" x14ac:dyDescent="0.2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6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7">
        <v>214.08</v>
      </c>
    </row>
    <row r="574" spans="1:14" x14ac:dyDescent="0.2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6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7">
        <v>70.319999999999993</v>
      </c>
    </row>
    <row r="575" spans="1:14" x14ac:dyDescent="0.2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6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7">
        <v>2107.1</v>
      </c>
    </row>
    <row r="576" spans="1:14" x14ac:dyDescent="0.2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7">
        <v>1923.45</v>
      </c>
    </row>
    <row r="577" spans="1:14" x14ac:dyDescent="0.2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6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7">
        <v>2240.75</v>
      </c>
    </row>
    <row r="578" spans="1:14" x14ac:dyDescent="0.2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6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7">
        <v>395.4</v>
      </c>
    </row>
    <row r="579" spans="1:14" x14ac:dyDescent="0.2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6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7">
        <v>741.64</v>
      </c>
    </row>
    <row r="580" spans="1:14" x14ac:dyDescent="0.2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6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7">
        <v>2830.35</v>
      </c>
    </row>
    <row r="581" spans="1:14" x14ac:dyDescent="0.2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6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7">
        <v>375.76</v>
      </c>
    </row>
    <row r="582" spans="1:14" x14ac:dyDescent="0.2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6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7">
        <v>511.98</v>
      </c>
    </row>
    <row r="583" spans="1:14" x14ac:dyDescent="0.2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6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7">
        <v>627.34</v>
      </c>
    </row>
    <row r="584" spans="1:14" x14ac:dyDescent="0.2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6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7">
        <v>1422.42</v>
      </c>
    </row>
    <row r="585" spans="1:14" x14ac:dyDescent="0.2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6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7">
        <v>463.11</v>
      </c>
    </row>
    <row r="586" spans="1:14" x14ac:dyDescent="0.2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7">
        <v>580.20000000000005</v>
      </c>
    </row>
    <row r="587" spans="1:14" x14ac:dyDescent="0.2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6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7">
        <v>268.32</v>
      </c>
    </row>
    <row r="588" spans="1:14" x14ac:dyDescent="0.2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6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7">
        <v>522.08000000000004</v>
      </c>
    </row>
    <row r="589" spans="1:14" x14ac:dyDescent="0.2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6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7">
        <v>2573</v>
      </c>
    </row>
    <row r="590" spans="1:14" x14ac:dyDescent="0.2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6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7">
        <v>2311.2800000000002</v>
      </c>
    </row>
    <row r="591" spans="1:14" x14ac:dyDescent="0.2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6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7">
        <v>1001.6</v>
      </c>
    </row>
    <row r="592" spans="1:14" x14ac:dyDescent="0.2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6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7">
        <v>922.26</v>
      </c>
    </row>
    <row r="593" spans="1:14" x14ac:dyDescent="0.2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6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7">
        <v>605.28</v>
      </c>
    </row>
    <row r="594" spans="1:14" x14ac:dyDescent="0.2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6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7">
        <v>612.80999999999995</v>
      </c>
    </row>
    <row r="595" spans="1:14" x14ac:dyDescent="0.2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6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7">
        <v>489.8</v>
      </c>
    </row>
    <row r="596" spans="1:14" x14ac:dyDescent="0.2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7">
        <v>363.2</v>
      </c>
    </row>
    <row r="597" spans="1:14" x14ac:dyDescent="0.2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6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7">
        <v>770.32</v>
      </c>
    </row>
    <row r="598" spans="1:14" x14ac:dyDescent="0.2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6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7">
        <v>1819.23</v>
      </c>
    </row>
    <row r="599" spans="1:14" x14ac:dyDescent="0.2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6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7">
        <v>423.64</v>
      </c>
    </row>
    <row r="600" spans="1:14" x14ac:dyDescent="0.2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6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7">
        <v>2476.75</v>
      </c>
    </row>
    <row r="601" spans="1:14" x14ac:dyDescent="0.2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6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7">
        <v>1670.97</v>
      </c>
    </row>
    <row r="602" spans="1:14" x14ac:dyDescent="0.2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6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7">
        <v>72.31</v>
      </c>
    </row>
    <row r="603" spans="1:14" x14ac:dyDescent="0.2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6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7">
        <v>124.1</v>
      </c>
    </row>
    <row r="604" spans="1:14" x14ac:dyDescent="0.2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6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7">
        <v>104.16</v>
      </c>
    </row>
    <row r="605" spans="1:14" x14ac:dyDescent="0.2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6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7">
        <v>657.07</v>
      </c>
    </row>
    <row r="606" spans="1:14" x14ac:dyDescent="0.2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7">
        <v>97.86</v>
      </c>
    </row>
    <row r="607" spans="1:14" x14ac:dyDescent="0.2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6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7">
        <v>457.82</v>
      </c>
    </row>
    <row r="608" spans="1:14" x14ac:dyDescent="0.2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6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7">
        <v>824.25</v>
      </c>
    </row>
    <row r="609" spans="1:14" x14ac:dyDescent="0.2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6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7">
        <v>2536.1999999999998</v>
      </c>
    </row>
    <row r="610" spans="1:14" x14ac:dyDescent="0.2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6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7">
        <v>2715.8</v>
      </c>
    </row>
    <row r="611" spans="1:14" x14ac:dyDescent="0.2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6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7">
        <v>1347.39</v>
      </c>
    </row>
    <row r="612" spans="1:14" x14ac:dyDescent="0.2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6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7">
        <v>1948.1</v>
      </c>
    </row>
    <row r="613" spans="1:14" x14ac:dyDescent="0.2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6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7">
        <v>305.17</v>
      </c>
    </row>
    <row r="614" spans="1:14" x14ac:dyDescent="0.2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6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7">
        <v>1335.36</v>
      </c>
    </row>
    <row r="615" spans="1:14" x14ac:dyDescent="0.2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6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7">
        <v>460.72</v>
      </c>
    </row>
    <row r="616" spans="1:14" x14ac:dyDescent="0.2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7">
        <v>96.81</v>
      </c>
    </row>
    <row r="617" spans="1:14" x14ac:dyDescent="0.2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6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7">
        <v>2300.6999999999998</v>
      </c>
    </row>
    <row r="618" spans="1:14" x14ac:dyDescent="0.2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6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7">
        <v>1804.8</v>
      </c>
    </row>
    <row r="619" spans="1:14" x14ac:dyDescent="0.2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6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7">
        <v>553.41</v>
      </c>
    </row>
    <row r="620" spans="1:14" x14ac:dyDescent="0.2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6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7">
        <v>411.34</v>
      </c>
    </row>
    <row r="621" spans="1:14" x14ac:dyDescent="0.2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6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7">
        <v>532.89</v>
      </c>
    </row>
    <row r="622" spans="1:14" x14ac:dyDescent="0.2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6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7">
        <v>409.02</v>
      </c>
    </row>
    <row r="623" spans="1:14" x14ac:dyDescent="0.2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6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7">
        <v>2380.0500000000002</v>
      </c>
    </row>
    <row r="624" spans="1:14" x14ac:dyDescent="0.2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6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7">
        <v>1181.9000000000001</v>
      </c>
    </row>
    <row r="625" spans="1:14" x14ac:dyDescent="0.2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6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7">
        <v>1188</v>
      </c>
    </row>
    <row r="626" spans="1:14" x14ac:dyDescent="0.2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7">
        <v>1709.8</v>
      </c>
    </row>
    <row r="627" spans="1:14" x14ac:dyDescent="0.2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6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7">
        <v>672.89</v>
      </c>
    </row>
    <row r="628" spans="1:14" x14ac:dyDescent="0.2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6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7">
        <v>1314.96</v>
      </c>
    </row>
    <row r="629" spans="1:14" x14ac:dyDescent="0.2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6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7">
        <v>1496.04</v>
      </c>
    </row>
    <row r="630" spans="1:14" x14ac:dyDescent="0.2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6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7">
        <v>2793.15</v>
      </c>
    </row>
    <row r="631" spans="1:14" x14ac:dyDescent="0.2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6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7">
        <v>59.19</v>
      </c>
    </row>
    <row r="632" spans="1:14" x14ac:dyDescent="0.2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6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7">
        <v>1244.2</v>
      </c>
    </row>
    <row r="633" spans="1:14" x14ac:dyDescent="0.2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6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7">
        <v>138.33000000000001</v>
      </c>
    </row>
    <row r="634" spans="1:14" x14ac:dyDescent="0.2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6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7">
        <v>3390.8</v>
      </c>
    </row>
    <row r="635" spans="1:14" x14ac:dyDescent="0.2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6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7">
        <v>3008.6</v>
      </c>
    </row>
    <row r="636" spans="1:14" x14ac:dyDescent="0.2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7">
        <v>518.64</v>
      </c>
    </row>
    <row r="637" spans="1:14" x14ac:dyDescent="0.2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6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7">
        <v>191.04</v>
      </c>
    </row>
    <row r="638" spans="1:14" x14ac:dyDescent="0.2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6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7">
        <v>1484.28</v>
      </c>
    </row>
    <row r="639" spans="1:14" x14ac:dyDescent="0.2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6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7">
        <v>1225.4000000000001</v>
      </c>
    </row>
    <row r="640" spans="1:14" x14ac:dyDescent="0.2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6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7">
        <v>2313.08</v>
      </c>
    </row>
    <row r="641" spans="1:14" x14ac:dyDescent="0.2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6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7">
        <v>529.19000000000005</v>
      </c>
    </row>
    <row r="642" spans="1:14" x14ac:dyDescent="0.2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6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7">
        <v>1174.98</v>
      </c>
    </row>
    <row r="643" spans="1:14" x14ac:dyDescent="0.2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6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7">
        <v>2270.2800000000002</v>
      </c>
    </row>
    <row r="644" spans="1:14" x14ac:dyDescent="0.2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6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7">
        <v>426.1</v>
      </c>
    </row>
    <row r="645" spans="1:14" x14ac:dyDescent="0.2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6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7">
        <v>438.37</v>
      </c>
    </row>
    <row r="646" spans="1:14" x14ac:dyDescent="0.2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7">
        <v>732.46</v>
      </c>
    </row>
    <row r="647" spans="1:14" x14ac:dyDescent="0.2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6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7">
        <v>300.10000000000002</v>
      </c>
    </row>
    <row r="648" spans="1:14" x14ac:dyDescent="0.2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6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7">
        <v>1994.04</v>
      </c>
    </row>
    <row r="649" spans="1:14" x14ac:dyDescent="0.2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6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7">
        <v>1018.17</v>
      </c>
    </row>
    <row r="650" spans="1:14" x14ac:dyDescent="0.2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6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7">
        <v>1151.6600000000001</v>
      </c>
    </row>
    <row r="651" spans="1:14" x14ac:dyDescent="0.2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6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7">
        <v>1285.96</v>
      </c>
    </row>
    <row r="652" spans="1:14" x14ac:dyDescent="0.2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6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7">
        <v>744.46</v>
      </c>
    </row>
    <row r="653" spans="1:14" x14ac:dyDescent="0.2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6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7">
        <v>1939.02</v>
      </c>
    </row>
    <row r="654" spans="1:14" x14ac:dyDescent="0.2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6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7">
        <v>1709.2</v>
      </c>
    </row>
    <row r="655" spans="1:14" x14ac:dyDescent="0.2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6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7">
        <v>2070.9</v>
      </c>
    </row>
    <row r="656" spans="1:14" x14ac:dyDescent="0.2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7">
        <v>1147.1099999999999</v>
      </c>
    </row>
    <row r="657" spans="1:14" x14ac:dyDescent="0.2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6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7">
        <v>265.2</v>
      </c>
    </row>
    <row r="658" spans="1:14" x14ac:dyDescent="0.2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6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7">
        <v>378.12</v>
      </c>
    </row>
    <row r="659" spans="1:14" x14ac:dyDescent="0.2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6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7">
        <v>351.16</v>
      </c>
    </row>
    <row r="660" spans="1:14" x14ac:dyDescent="0.2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6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7">
        <v>92.72</v>
      </c>
    </row>
    <row r="661" spans="1:14" x14ac:dyDescent="0.2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6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7">
        <v>1284.08</v>
      </c>
    </row>
    <row r="662" spans="1:14" x14ac:dyDescent="0.2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6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7">
        <v>1303.1400000000001</v>
      </c>
    </row>
    <row r="663" spans="1:14" x14ac:dyDescent="0.2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6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7">
        <v>1274.67</v>
      </c>
    </row>
    <row r="664" spans="1:14" x14ac:dyDescent="0.2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6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7">
        <v>1316.67</v>
      </c>
    </row>
    <row r="665" spans="1:14" x14ac:dyDescent="0.2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6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7">
        <v>72.599999999999994</v>
      </c>
    </row>
    <row r="666" spans="1:14" x14ac:dyDescent="0.2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7">
        <v>779</v>
      </c>
    </row>
    <row r="667" spans="1:14" x14ac:dyDescent="0.2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6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7">
        <v>925.04</v>
      </c>
    </row>
    <row r="668" spans="1:14" x14ac:dyDescent="0.2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6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7">
        <v>1308.48</v>
      </c>
    </row>
    <row r="669" spans="1:14" x14ac:dyDescent="0.2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6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7">
        <v>466.42</v>
      </c>
    </row>
    <row r="670" spans="1:14" x14ac:dyDescent="0.2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6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7">
        <v>507.34</v>
      </c>
    </row>
    <row r="671" spans="1:14" x14ac:dyDescent="0.2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6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7">
        <v>257</v>
      </c>
    </row>
    <row r="672" spans="1:14" x14ac:dyDescent="0.2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6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7">
        <v>2156.8000000000002</v>
      </c>
    </row>
    <row r="673" spans="1:14" x14ac:dyDescent="0.2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6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7">
        <v>253.7</v>
      </c>
    </row>
    <row r="674" spans="1:14" x14ac:dyDescent="0.2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6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7">
        <v>1248.32</v>
      </c>
    </row>
    <row r="675" spans="1:14" x14ac:dyDescent="0.2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6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7">
        <v>745.84</v>
      </c>
    </row>
    <row r="676" spans="1:14" x14ac:dyDescent="0.2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7">
        <v>1435</v>
      </c>
    </row>
    <row r="677" spans="1:14" x14ac:dyDescent="0.2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6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7">
        <v>1026.06</v>
      </c>
    </row>
    <row r="678" spans="1:14" x14ac:dyDescent="0.2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6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7">
        <v>844.68</v>
      </c>
    </row>
    <row r="679" spans="1:14" x14ac:dyDescent="0.2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6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7">
        <v>110.35</v>
      </c>
    </row>
    <row r="680" spans="1:14" x14ac:dyDescent="0.2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6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7">
        <v>489.39</v>
      </c>
    </row>
    <row r="681" spans="1:14" x14ac:dyDescent="0.2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6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7">
        <v>1081.98</v>
      </c>
    </row>
    <row r="682" spans="1:14" x14ac:dyDescent="0.2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6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7">
        <v>1390.17</v>
      </c>
    </row>
    <row r="683" spans="1:14" x14ac:dyDescent="0.2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6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7">
        <v>155.27000000000001</v>
      </c>
    </row>
    <row r="684" spans="1:14" x14ac:dyDescent="0.2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6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7">
        <v>1528.26</v>
      </c>
    </row>
    <row r="685" spans="1:14" x14ac:dyDescent="0.2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6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7">
        <v>2609.92</v>
      </c>
    </row>
    <row r="686" spans="1:14" x14ac:dyDescent="0.2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7">
        <v>139.36000000000001</v>
      </c>
    </row>
    <row r="687" spans="1:14" x14ac:dyDescent="0.2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6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7">
        <v>234.37</v>
      </c>
    </row>
    <row r="688" spans="1:14" x14ac:dyDescent="0.2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6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7">
        <v>160.80000000000001</v>
      </c>
    </row>
    <row r="689" spans="1:14" x14ac:dyDescent="0.2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6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7">
        <v>332.09</v>
      </c>
    </row>
    <row r="690" spans="1:14" x14ac:dyDescent="0.2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6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7">
        <v>2372.88</v>
      </c>
    </row>
    <row r="691" spans="1:14" x14ac:dyDescent="0.2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6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7">
        <v>889.68</v>
      </c>
    </row>
    <row r="692" spans="1:14" x14ac:dyDescent="0.2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6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7">
        <v>24.48</v>
      </c>
    </row>
    <row r="693" spans="1:14" x14ac:dyDescent="0.2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6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7">
        <v>717.24</v>
      </c>
    </row>
    <row r="694" spans="1:14" x14ac:dyDescent="0.2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6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7">
        <v>984.2</v>
      </c>
    </row>
    <row r="695" spans="1:14" x14ac:dyDescent="0.2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6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7">
        <v>176.58</v>
      </c>
    </row>
    <row r="696" spans="1:14" x14ac:dyDescent="0.2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7">
        <v>2666.08</v>
      </c>
    </row>
    <row r="697" spans="1:14" x14ac:dyDescent="0.2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6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7">
        <v>506.5</v>
      </c>
    </row>
    <row r="698" spans="1:14" x14ac:dyDescent="0.2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6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7">
        <v>604.79999999999995</v>
      </c>
    </row>
    <row r="699" spans="1:14" x14ac:dyDescent="0.2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6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7">
        <v>474.25</v>
      </c>
    </row>
    <row r="700" spans="1:14" x14ac:dyDescent="0.2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6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7">
        <v>776.44</v>
      </c>
    </row>
    <row r="701" spans="1:14" x14ac:dyDescent="0.2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6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7">
        <v>1842.45</v>
      </c>
    </row>
    <row r="702" spans="1:14" x14ac:dyDescent="0.2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6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7">
        <v>185.82</v>
      </c>
    </row>
    <row r="703" spans="1:14" x14ac:dyDescent="0.2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6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7">
        <v>276.66000000000003</v>
      </c>
    </row>
    <row r="704" spans="1:14" x14ac:dyDescent="0.2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6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7">
        <v>1687.65</v>
      </c>
    </row>
    <row r="705" spans="1:14" x14ac:dyDescent="0.2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6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7">
        <v>92.79</v>
      </c>
    </row>
    <row r="706" spans="1:14" x14ac:dyDescent="0.2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7">
        <v>121.08</v>
      </c>
    </row>
    <row r="707" spans="1:14" x14ac:dyDescent="0.2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6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7">
        <v>98.16</v>
      </c>
    </row>
    <row r="708" spans="1:14" x14ac:dyDescent="0.2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6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7">
        <v>1140.45</v>
      </c>
    </row>
    <row r="709" spans="1:14" x14ac:dyDescent="0.2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6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7">
        <v>2600.16</v>
      </c>
    </row>
    <row r="710" spans="1:14" x14ac:dyDescent="0.2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6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7">
        <v>665.11</v>
      </c>
    </row>
    <row r="711" spans="1:14" x14ac:dyDescent="0.2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6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7">
        <v>386.03</v>
      </c>
    </row>
    <row r="712" spans="1:14" x14ac:dyDescent="0.2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6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7">
        <v>107.7</v>
      </c>
    </row>
    <row r="713" spans="1:14" x14ac:dyDescent="0.2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6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7">
        <v>951.56</v>
      </c>
    </row>
    <row r="714" spans="1:14" x14ac:dyDescent="0.2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6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7">
        <v>136.80000000000001</v>
      </c>
    </row>
    <row r="715" spans="1:14" x14ac:dyDescent="0.2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6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7">
        <v>2129.96</v>
      </c>
    </row>
    <row r="716" spans="1:14" x14ac:dyDescent="0.2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7">
        <v>51.73</v>
      </c>
    </row>
    <row r="717" spans="1:14" x14ac:dyDescent="0.2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6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7">
        <v>1960.89</v>
      </c>
    </row>
    <row r="718" spans="1:14" x14ac:dyDescent="0.2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6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7">
        <v>1362.87</v>
      </c>
    </row>
    <row r="719" spans="1:14" x14ac:dyDescent="0.2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6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7">
        <v>366.33</v>
      </c>
    </row>
    <row r="720" spans="1:14" x14ac:dyDescent="0.2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6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7">
        <v>258.95999999999998</v>
      </c>
    </row>
    <row r="721" spans="1:14" x14ac:dyDescent="0.2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6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7">
        <v>1362.12</v>
      </c>
    </row>
    <row r="722" spans="1:14" x14ac:dyDescent="0.2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6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7">
        <v>644.75</v>
      </c>
    </row>
    <row r="723" spans="1:14" x14ac:dyDescent="0.2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6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7">
        <v>237.18</v>
      </c>
    </row>
    <row r="724" spans="1:14" x14ac:dyDescent="0.2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6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7">
        <v>95.1</v>
      </c>
    </row>
    <row r="725" spans="1:14" x14ac:dyDescent="0.2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6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7">
        <v>164.85</v>
      </c>
    </row>
    <row r="726" spans="1:14" x14ac:dyDescent="0.2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7">
        <v>410.91</v>
      </c>
    </row>
    <row r="727" spans="1:14" x14ac:dyDescent="0.2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6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7">
        <v>389.7</v>
      </c>
    </row>
    <row r="728" spans="1:14" x14ac:dyDescent="0.2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6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7">
        <v>2332.08</v>
      </c>
    </row>
    <row r="729" spans="1:14" x14ac:dyDescent="0.2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6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7">
        <v>478.75</v>
      </c>
    </row>
    <row r="730" spans="1:14" x14ac:dyDescent="0.2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6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7">
        <v>1303.04</v>
      </c>
    </row>
    <row r="731" spans="1:14" x14ac:dyDescent="0.2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6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7">
        <v>745.64</v>
      </c>
    </row>
    <row r="732" spans="1:14" x14ac:dyDescent="0.2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6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7">
        <v>474.6</v>
      </c>
    </row>
    <row r="733" spans="1:14" x14ac:dyDescent="0.2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6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7">
        <v>2922.3</v>
      </c>
    </row>
    <row r="734" spans="1:14" x14ac:dyDescent="0.2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6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7">
        <v>132.05000000000001</v>
      </c>
    </row>
    <row r="735" spans="1:14" x14ac:dyDescent="0.2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6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7">
        <v>1979.36</v>
      </c>
    </row>
    <row r="736" spans="1:14" x14ac:dyDescent="0.2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7">
        <v>898.44</v>
      </c>
    </row>
    <row r="737" spans="1:14" x14ac:dyDescent="0.2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6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7">
        <v>176.28</v>
      </c>
    </row>
    <row r="738" spans="1:14" x14ac:dyDescent="0.2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6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7">
        <v>2092.65</v>
      </c>
    </row>
    <row r="739" spans="1:14" x14ac:dyDescent="0.2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6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7">
        <v>2131.48</v>
      </c>
    </row>
    <row r="740" spans="1:14" x14ac:dyDescent="0.2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6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7">
        <v>970.74</v>
      </c>
    </row>
    <row r="741" spans="1:14" x14ac:dyDescent="0.2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6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7">
        <v>1546.92</v>
      </c>
    </row>
    <row r="742" spans="1:14" x14ac:dyDescent="0.2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6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7">
        <v>754.94</v>
      </c>
    </row>
    <row r="743" spans="1:14" x14ac:dyDescent="0.2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6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7">
        <v>1663.2</v>
      </c>
    </row>
    <row r="744" spans="1:14" x14ac:dyDescent="0.2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6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7">
        <v>2099.79</v>
      </c>
    </row>
    <row r="745" spans="1:14" x14ac:dyDescent="0.2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6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7">
        <v>576.35</v>
      </c>
    </row>
    <row r="746" spans="1:14" x14ac:dyDescent="0.2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7">
        <v>922.74</v>
      </c>
    </row>
    <row r="747" spans="1:14" x14ac:dyDescent="0.2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6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7">
        <v>445.2</v>
      </c>
    </row>
    <row r="748" spans="1:14" x14ac:dyDescent="0.2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6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7">
        <v>1985.67</v>
      </c>
    </row>
    <row r="749" spans="1:14" x14ac:dyDescent="0.2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6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7">
        <v>519.16</v>
      </c>
    </row>
    <row r="750" spans="1:14" x14ac:dyDescent="0.2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6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7">
        <v>212.43</v>
      </c>
    </row>
    <row r="751" spans="1:14" x14ac:dyDescent="0.2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6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7">
        <v>518.39</v>
      </c>
    </row>
    <row r="752" spans="1:14" x14ac:dyDescent="0.2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6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7">
        <v>581.64</v>
      </c>
    </row>
    <row r="753" spans="1:14" x14ac:dyDescent="0.2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6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7">
        <v>1199.72</v>
      </c>
    </row>
    <row r="754" spans="1:14" x14ac:dyDescent="0.2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6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7">
        <v>1717.48</v>
      </c>
    </row>
    <row r="755" spans="1:14" x14ac:dyDescent="0.2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6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7">
        <v>482.98</v>
      </c>
    </row>
    <row r="756" spans="1:14" x14ac:dyDescent="0.2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7">
        <v>904.1</v>
      </c>
    </row>
    <row r="757" spans="1:14" x14ac:dyDescent="0.2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6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7">
        <v>1010.13</v>
      </c>
    </row>
    <row r="758" spans="1:14" x14ac:dyDescent="0.2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6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7">
        <v>283.69</v>
      </c>
    </row>
    <row r="759" spans="1:14" x14ac:dyDescent="0.2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6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7">
        <v>157.72</v>
      </c>
    </row>
    <row r="760" spans="1:14" x14ac:dyDescent="0.2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6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7">
        <v>1874.52</v>
      </c>
    </row>
    <row r="761" spans="1:14" x14ac:dyDescent="0.2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6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7">
        <v>924.03</v>
      </c>
    </row>
    <row r="762" spans="1:14" x14ac:dyDescent="0.2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6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7">
        <v>39.56</v>
      </c>
    </row>
    <row r="763" spans="1:14" x14ac:dyDescent="0.2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6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7">
        <v>151.04</v>
      </c>
    </row>
    <row r="764" spans="1:14" x14ac:dyDescent="0.2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6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7">
        <v>230.88</v>
      </c>
    </row>
    <row r="765" spans="1:14" x14ac:dyDescent="0.2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6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7">
        <v>569.96</v>
      </c>
    </row>
    <row r="766" spans="1:14" x14ac:dyDescent="0.2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7">
        <v>3137.15</v>
      </c>
    </row>
    <row r="767" spans="1:14" x14ac:dyDescent="0.2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6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7">
        <v>1069.82</v>
      </c>
    </row>
    <row r="768" spans="1:14" x14ac:dyDescent="0.2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6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7">
        <v>557.76</v>
      </c>
    </row>
    <row r="769" spans="1:14" x14ac:dyDescent="0.2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6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7">
        <v>646.44000000000005</v>
      </c>
    </row>
    <row r="770" spans="1:14" x14ac:dyDescent="0.2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6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7">
        <v>3267.3</v>
      </c>
    </row>
    <row r="771" spans="1:14" x14ac:dyDescent="0.2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6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7">
        <v>2714.2</v>
      </c>
    </row>
    <row r="772" spans="1:14" x14ac:dyDescent="0.2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6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7">
        <v>314.38</v>
      </c>
    </row>
    <row r="773" spans="1:14" x14ac:dyDescent="0.2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6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7">
        <v>2077.3200000000002</v>
      </c>
    </row>
    <row r="774" spans="1:14" x14ac:dyDescent="0.2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6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7">
        <v>604.87</v>
      </c>
    </row>
    <row r="775" spans="1:14" x14ac:dyDescent="0.2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6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7">
        <v>1024.6600000000001</v>
      </c>
    </row>
    <row r="776" spans="1:14" x14ac:dyDescent="0.2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7">
        <v>61.62</v>
      </c>
    </row>
    <row r="777" spans="1:14" x14ac:dyDescent="0.2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6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7">
        <v>1250.44</v>
      </c>
    </row>
    <row r="778" spans="1:14" x14ac:dyDescent="0.2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6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7">
        <v>21.19</v>
      </c>
    </row>
    <row r="779" spans="1:14" x14ac:dyDescent="0.2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6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7">
        <v>322.45</v>
      </c>
    </row>
    <row r="780" spans="1:14" x14ac:dyDescent="0.2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6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7">
        <v>987.4</v>
      </c>
    </row>
    <row r="781" spans="1:14" x14ac:dyDescent="0.2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6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7">
        <v>1766.22</v>
      </c>
    </row>
    <row r="782" spans="1:14" x14ac:dyDescent="0.2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6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7">
        <v>737.92</v>
      </c>
    </row>
    <row r="783" spans="1:14" x14ac:dyDescent="0.2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6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7">
        <v>2621.3000000000002</v>
      </c>
    </row>
    <row r="784" spans="1:14" x14ac:dyDescent="0.2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6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7">
        <v>987.26</v>
      </c>
    </row>
    <row r="785" spans="1:14" x14ac:dyDescent="0.2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6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7">
        <v>438.34</v>
      </c>
    </row>
    <row r="786" spans="1:14" x14ac:dyDescent="0.2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7">
        <v>325.81</v>
      </c>
    </row>
    <row r="787" spans="1:14" x14ac:dyDescent="0.2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6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7">
        <v>176.1</v>
      </c>
    </row>
    <row r="788" spans="1:14" x14ac:dyDescent="0.2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6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7">
        <v>226.55</v>
      </c>
    </row>
    <row r="789" spans="1:14" x14ac:dyDescent="0.2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6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7">
        <v>887.84</v>
      </c>
    </row>
    <row r="790" spans="1:14" x14ac:dyDescent="0.2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6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7">
        <v>1202.8599999999999</v>
      </c>
    </row>
    <row r="791" spans="1:14" x14ac:dyDescent="0.2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6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7">
        <v>3456.4</v>
      </c>
    </row>
    <row r="792" spans="1:14" x14ac:dyDescent="0.2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6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7">
        <v>1671.56</v>
      </c>
    </row>
    <row r="793" spans="1:14" x14ac:dyDescent="0.2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6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7">
        <v>1637.12</v>
      </c>
    </row>
    <row r="794" spans="1:14" x14ac:dyDescent="0.2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6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7">
        <v>712.7</v>
      </c>
    </row>
    <row r="795" spans="1:14" x14ac:dyDescent="0.2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6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7">
        <v>851.1</v>
      </c>
    </row>
    <row r="796" spans="1:14" x14ac:dyDescent="0.2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7">
        <v>1539.4</v>
      </c>
    </row>
    <row r="797" spans="1:14" x14ac:dyDescent="0.2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6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7">
        <v>463.08</v>
      </c>
    </row>
    <row r="798" spans="1:14" x14ac:dyDescent="0.2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6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7">
        <v>1738.65</v>
      </c>
    </row>
    <row r="799" spans="1:14" x14ac:dyDescent="0.2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6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7">
        <v>877.52</v>
      </c>
    </row>
    <row r="800" spans="1:14" x14ac:dyDescent="0.2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6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7">
        <v>2441.75</v>
      </c>
    </row>
    <row r="801" spans="1:14" x14ac:dyDescent="0.2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6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7">
        <v>1314.24</v>
      </c>
    </row>
    <row r="802" spans="1:14" x14ac:dyDescent="0.2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6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7">
        <v>68.39</v>
      </c>
    </row>
    <row r="803" spans="1:14" x14ac:dyDescent="0.2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6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7">
        <v>2382.48</v>
      </c>
    </row>
    <row r="804" spans="1:14" x14ac:dyDescent="0.2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6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7">
        <v>3223.2</v>
      </c>
    </row>
    <row r="805" spans="1:14" x14ac:dyDescent="0.2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6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7">
        <v>1989.05</v>
      </c>
    </row>
    <row r="806" spans="1:14" x14ac:dyDescent="0.2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7">
        <v>709.5</v>
      </c>
    </row>
    <row r="807" spans="1:14" x14ac:dyDescent="0.2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6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7">
        <v>2360.0500000000002</v>
      </c>
    </row>
    <row r="808" spans="1:14" x14ac:dyDescent="0.2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6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7">
        <v>1268.75</v>
      </c>
    </row>
    <row r="809" spans="1:14" x14ac:dyDescent="0.2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6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7">
        <v>2028.63</v>
      </c>
    </row>
    <row r="810" spans="1:14" x14ac:dyDescent="0.2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6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7">
        <v>402.15</v>
      </c>
    </row>
    <row r="811" spans="1:14" x14ac:dyDescent="0.2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6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7">
        <v>1087.1500000000001</v>
      </c>
    </row>
    <row r="812" spans="1:14" x14ac:dyDescent="0.2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6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7">
        <v>553.55999999999995</v>
      </c>
    </row>
    <row r="813" spans="1:14" x14ac:dyDescent="0.2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6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7">
        <v>57.1</v>
      </c>
    </row>
    <row r="814" spans="1:14" x14ac:dyDescent="0.2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6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7">
        <v>510.52</v>
      </c>
    </row>
    <row r="815" spans="1:14" x14ac:dyDescent="0.2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6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7">
        <v>1462.7</v>
      </c>
    </row>
    <row r="816" spans="1:14" x14ac:dyDescent="0.2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7">
        <v>590.04</v>
      </c>
    </row>
    <row r="817" spans="1:14" x14ac:dyDescent="0.2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6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7">
        <v>1709.52</v>
      </c>
    </row>
    <row r="818" spans="1:14" x14ac:dyDescent="0.2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6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7">
        <v>2873.95</v>
      </c>
    </row>
    <row r="819" spans="1:14" x14ac:dyDescent="0.2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6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7">
        <v>2392.7600000000002</v>
      </c>
    </row>
    <row r="820" spans="1:14" x14ac:dyDescent="0.2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6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7">
        <v>1563.36</v>
      </c>
    </row>
    <row r="821" spans="1:14" x14ac:dyDescent="0.2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6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7">
        <v>796.9</v>
      </c>
    </row>
    <row r="822" spans="1:14" x14ac:dyDescent="0.2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6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7">
        <v>3119.05</v>
      </c>
    </row>
    <row r="823" spans="1:14" x14ac:dyDescent="0.2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6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7">
        <v>697.96</v>
      </c>
    </row>
    <row r="824" spans="1:14" x14ac:dyDescent="0.2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6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7">
        <v>479.56</v>
      </c>
    </row>
    <row r="825" spans="1:14" x14ac:dyDescent="0.2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6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7">
        <v>2612.52</v>
      </c>
    </row>
    <row r="826" spans="1:14" x14ac:dyDescent="0.2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7">
        <v>1443.3</v>
      </c>
    </row>
    <row r="827" spans="1:14" x14ac:dyDescent="0.2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6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7">
        <v>1358.45</v>
      </c>
    </row>
    <row r="828" spans="1:14" x14ac:dyDescent="0.2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6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7">
        <v>1391.43</v>
      </c>
    </row>
    <row r="829" spans="1:14" x14ac:dyDescent="0.2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6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7">
        <v>1279.76</v>
      </c>
    </row>
    <row r="830" spans="1:14" x14ac:dyDescent="0.2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6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7">
        <v>1618.32</v>
      </c>
    </row>
    <row r="831" spans="1:14" x14ac:dyDescent="0.2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6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7">
        <v>76.930000000000007</v>
      </c>
    </row>
    <row r="832" spans="1:14" x14ac:dyDescent="0.2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6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7">
        <v>762.56</v>
      </c>
    </row>
    <row r="833" spans="1:14" x14ac:dyDescent="0.2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6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7">
        <v>177.46</v>
      </c>
    </row>
    <row r="834" spans="1:14" x14ac:dyDescent="0.2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6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7">
        <v>2428.5500000000002</v>
      </c>
    </row>
    <row r="835" spans="1:14" x14ac:dyDescent="0.2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6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7">
        <v>391.45</v>
      </c>
    </row>
    <row r="836" spans="1:14" x14ac:dyDescent="0.2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7">
        <v>110.7</v>
      </c>
    </row>
    <row r="837" spans="1:14" x14ac:dyDescent="0.2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6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7">
        <v>679.65</v>
      </c>
    </row>
    <row r="838" spans="1:14" x14ac:dyDescent="0.2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6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7">
        <v>178.44</v>
      </c>
    </row>
    <row r="839" spans="1:14" x14ac:dyDescent="0.2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6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7">
        <v>3277.75</v>
      </c>
    </row>
    <row r="840" spans="1:14" x14ac:dyDescent="0.2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6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7">
        <v>2308.3200000000002</v>
      </c>
    </row>
    <row r="841" spans="1:14" x14ac:dyDescent="0.2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6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7">
        <v>593.91</v>
      </c>
    </row>
    <row r="842" spans="1:14" x14ac:dyDescent="0.2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6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7">
        <v>1235.8499999999999</v>
      </c>
    </row>
    <row r="843" spans="1:14" x14ac:dyDescent="0.2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6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7">
        <v>886.44</v>
      </c>
    </row>
    <row r="844" spans="1:14" x14ac:dyDescent="0.2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6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7">
        <v>1092.42</v>
      </c>
    </row>
    <row r="845" spans="1:14" x14ac:dyDescent="0.2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6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7">
        <v>1290.18</v>
      </c>
    </row>
    <row r="846" spans="1:14" x14ac:dyDescent="0.2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7">
        <v>320.92</v>
      </c>
    </row>
    <row r="847" spans="1:14" x14ac:dyDescent="0.2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6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7">
        <v>322.08</v>
      </c>
    </row>
    <row r="848" spans="1:14" x14ac:dyDescent="0.2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6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7">
        <v>719.72</v>
      </c>
    </row>
    <row r="849" spans="1:14" x14ac:dyDescent="0.2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6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7">
        <v>1736.92</v>
      </c>
    </row>
    <row r="850" spans="1:14" x14ac:dyDescent="0.2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6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7">
        <v>1291.7</v>
      </c>
    </row>
    <row r="851" spans="1:14" x14ac:dyDescent="0.2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6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7">
        <v>857.4</v>
      </c>
    </row>
    <row r="852" spans="1:14" x14ac:dyDescent="0.2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6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7">
        <v>1915.5</v>
      </c>
    </row>
    <row r="853" spans="1:14" x14ac:dyDescent="0.2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6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7">
        <v>365.57</v>
      </c>
    </row>
    <row r="854" spans="1:14" x14ac:dyDescent="0.2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6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7">
        <v>1704.15</v>
      </c>
    </row>
    <row r="855" spans="1:14" x14ac:dyDescent="0.2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6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7">
        <v>1470.03</v>
      </c>
    </row>
    <row r="856" spans="1:14" x14ac:dyDescent="0.2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7">
        <v>1117.8</v>
      </c>
    </row>
    <row r="857" spans="1:14" x14ac:dyDescent="0.2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6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7">
        <v>1203.05</v>
      </c>
    </row>
    <row r="858" spans="1:14" x14ac:dyDescent="0.2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6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7">
        <v>586.62</v>
      </c>
    </row>
    <row r="859" spans="1:14" x14ac:dyDescent="0.2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6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7">
        <v>773.52</v>
      </c>
    </row>
    <row r="860" spans="1:14" x14ac:dyDescent="0.2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6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7">
        <v>2178.3000000000002</v>
      </c>
    </row>
    <row r="861" spans="1:14" x14ac:dyDescent="0.2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6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7">
        <v>1306.6500000000001</v>
      </c>
    </row>
    <row r="862" spans="1:14" x14ac:dyDescent="0.2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6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7">
        <v>422.54</v>
      </c>
    </row>
    <row r="863" spans="1:14" x14ac:dyDescent="0.2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6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7">
        <v>1652.25</v>
      </c>
    </row>
    <row r="864" spans="1:14" x14ac:dyDescent="0.2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6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7">
        <v>362.46</v>
      </c>
    </row>
    <row r="865" spans="1:14" x14ac:dyDescent="0.2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6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7">
        <v>14.06</v>
      </c>
    </row>
    <row r="866" spans="1:14" x14ac:dyDescent="0.2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7">
        <v>491.11</v>
      </c>
    </row>
    <row r="867" spans="1:14" x14ac:dyDescent="0.2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6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7">
        <v>2709.48</v>
      </c>
    </row>
    <row r="868" spans="1:14" x14ac:dyDescent="0.2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6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7">
        <v>946.25</v>
      </c>
    </row>
    <row r="869" spans="1:14" x14ac:dyDescent="0.2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6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7">
        <v>570.32000000000005</v>
      </c>
    </row>
    <row r="870" spans="1:14" x14ac:dyDescent="0.2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6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7">
        <v>1265.28</v>
      </c>
    </row>
    <row r="871" spans="1:14" x14ac:dyDescent="0.2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6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7">
        <v>1067.9000000000001</v>
      </c>
    </row>
    <row r="872" spans="1:14" x14ac:dyDescent="0.2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6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7">
        <v>1880.36</v>
      </c>
    </row>
    <row r="873" spans="1:14" x14ac:dyDescent="0.2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6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7">
        <v>972.9</v>
      </c>
    </row>
    <row r="874" spans="1:14" x14ac:dyDescent="0.2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6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7">
        <v>2517.36</v>
      </c>
    </row>
    <row r="875" spans="1:14" x14ac:dyDescent="0.2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6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7">
        <v>410.52</v>
      </c>
    </row>
    <row r="876" spans="1:14" x14ac:dyDescent="0.2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7">
        <v>977.8</v>
      </c>
    </row>
    <row r="877" spans="1:14" x14ac:dyDescent="0.2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6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7">
        <v>666.95</v>
      </c>
    </row>
    <row r="878" spans="1:14" x14ac:dyDescent="0.2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6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7">
        <v>3044.55</v>
      </c>
    </row>
    <row r="879" spans="1:14" x14ac:dyDescent="0.2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6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7">
        <v>524.05999999999995</v>
      </c>
    </row>
    <row r="880" spans="1:14" x14ac:dyDescent="0.2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6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7">
        <v>661.38</v>
      </c>
    </row>
    <row r="881" spans="1:14" x14ac:dyDescent="0.2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6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7">
        <v>1095.3399999999999</v>
      </c>
    </row>
    <row r="882" spans="1:14" x14ac:dyDescent="0.2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6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7">
        <v>934.8</v>
      </c>
    </row>
    <row r="883" spans="1:14" x14ac:dyDescent="0.2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6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7">
        <v>897.7</v>
      </c>
    </row>
    <row r="884" spans="1:14" x14ac:dyDescent="0.2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6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7">
        <v>548.24</v>
      </c>
    </row>
    <row r="885" spans="1:14" x14ac:dyDescent="0.2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6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7">
        <v>2807.4</v>
      </c>
    </row>
    <row r="886" spans="1:14" x14ac:dyDescent="0.2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7">
        <v>595.54</v>
      </c>
    </row>
    <row r="887" spans="1:14" x14ac:dyDescent="0.2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6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7">
        <v>2062.36</v>
      </c>
    </row>
    <row r="888" spans="1:14" x14ac:dyDescent="0.2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6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7">
        <v>460.13</v>
      </c>
    </row>
    <row r="889" spans="1:14" x14ac:dyDescent="0.2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6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7">
        <v>514.98</v>
      </c>
    </row>
    <row r="890" spans="1:14" x14ac:dyDescent="0.2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6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7">
        <v>533.9</v>
      </c>
    </row>
    <row r="891" spans="1:14" x14ac:dyDescent="0.2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6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7">
        <v>3253.6</v>
      </c>
    </row>
    <row r="892" spans="1:14" x14ac:dyDescent="0.2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6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7">
        <v>1318.59</v>
      </c>
    </row>
    <row r="893" spans="1:14" x14ac:dyDescent="0.2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6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7">
        <v>1963.62</v>
      </c>
    </row>
    <row r="894" spans="1:14" x14ac:dyDescent="0.2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6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7">
        <v>394.53</v>
      </c>
    </row>
    <row r="895" spans="1:14" x14ac:dyDescent="0.2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6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7">
        <v>678.01</v>
      </c>
    </row>
    <row r="896" spans="1:14" x14ac:dyDescent="0.2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7">
        <v>1725.03</v>
      </c>
    </row>
    <row r="897" spans="1:14" x14ac:dyDescent="0.2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6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7">
        <v>463.92</v>
      </c>
    </row>
    <row r="898" spans="1:14" x14ac:dyDescent="0.2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6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7">
        <v>441.87</v>
      </c>
    </row>
    <row r="899" spans="1:14" x14ac:dyDescent="0.2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6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7">
        <v>1925.92</v>
      </c>
    </row>
    <row r="900" spans="1:14" x14ac:dyDescent="0.2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6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7">
        <v>475.11</v>
      </c>
    </row>
    <row r="901" spans="1:14" x14ac:dyDescent="0.2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6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7">
        <v>646.74</v>
      </c>
    </row>
    <row r="902" spans="1:14" x14ac:dyDescent="0.2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6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7">
        <v>369.15</v>
      </c>
    </row>
    <row r="903" spans="1:14" x14ac:dyDescent="0.2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6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7">
        <v>458.63</v>
      </c>
    </row>
    <row r="904" spans="1:14" x14ac:dyDescent="0.2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6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7">
        <v>721</v>
      </c>
    </row>
    <row r="905" spans="1:14" x14ac:dyDescent="0.2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6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7">
        <v>1420.47</v>
      </c>
    </row>
    <row r="906" spans="1:14" x14ac:dyDescent="0.2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7">
        <v>949.72</v>
      </c>
    </row>
    <row r="907" spans="1:14" x14ac:dyDescent="0.2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6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7">
        <v>442.39</v>
      </c>
    </row>
    <row r="908" spans="1:14" x14ac:dyDescent="0.2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6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7">
        <v>62.12</v>
      </c>
    </row>
    <row r="909" spans="1:14" x14ac:dyDescent="0.2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6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7">
        <v>1491.95</v>
      </c>
    </row>
    <row r="910" spans="1:14" x14ac:dyDescent="0.2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6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7">
        <v>1395.86</v>
      </c>
    </row>
    <row r="911" spans="1:14" x14ac:dyDescent="0.2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6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7">
        <v>583.70000000000005</v>
      </c>
    </row>
    <row r="912" spans="1:14" x14ac:dyDescent="0.2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6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7">
        <v>926.94</v>
      </c>
    </row>
    <row r="913" spans="1:14" x14ac:dyDescent="0.2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6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7">
        <v>1984.3</v>
      </c>
    </row>
    <row r="914" spans="1:14" x14ac:dyDescent="0.2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6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7">
        <v>279.38</v>
      </c>
    </row>
    <row r="915" spans="1:14" x14ac:dyDescent="0.2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6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7">
        <v>2379.75</v>
      </c>
    </row>
    <row r="916" spans="1:14" x14ac:dyDescent="0.2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7">
        <v>626.6</v>
      </c>
    </row>
    <row r="917" spans="1:14" x14ac:dyDescent="0.2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6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7">
        <v>2011.96</v>
      </c>
    </row>
    <row r="918" spans="1:14" x14ac:dyDescent="0.2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6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7">
        <v>2894.15</v>
      </c>
    </row>
    <row r="919" spans="1:14" x14ac:dyDescent="0.2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6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7">
        <v>1919.1</v>
      </c>
    </row>
    <row r="920" spans="1:14" x14ac:dyDescent="0.2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6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7">
        <v>1841.25</v>
      </c>
    </row>
    <row r="921" spans="1:14" x14ac:dyDescent="0.2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6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7">
        <v>749.2</v>
      </c>
    </row>
    <row r="922" spans="1:14" x14ac:dyDescent="0.2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6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7">
        <v>856.18</v>
      </c>
    </row>
    <row r="923" spans="1:14" x14ac:dyDescent="0.2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6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7">
        <v>438.93</v>
      </c>
    </row>
    <row r="924" spans="1:14" x14ac:dyDescent="0.2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6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7">
        <v>1127.6400000000001</v>
      </c>
    </row>
    <row r="925" spans="1:14" x14ac:dyDescent="0.2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6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7">
        <v>1949.79</v>
      </c>
    </row>
    <row r="926" spans="1:14" x14ac:dyDescent="0.2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7">
        <v>1342.15</v>
      </c>
    </row>
    <row r="927" spans="1:14" x14ac:dyDescent="0.2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6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7">
        <v>2512.35</v>
      </c>
    </row>
    <row r="928" spans="1:14" x14ac:dyDescent="0.2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6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7">
        <v>26.95</v>
      </c>
    </row>
    <row r="929" spans="1:14" x14ac:dyDescent="0.2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6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7">
        <v>258.76</v>
      </c>
    </row>
    <row r="930" spans="1:14" x14ac:dyDescent="0.2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6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7">
        <v>741.33</v>
      </c>
    </row>
    <row r="931" spans="1:14" x14ac:dyDescent="0.2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6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7">
        <v>1072.5</v>
      </c>
    </row>
    <row r="932" spans="1:14" x14ac:dyDescent="0.2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6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7">
        <v>912.08</v>
      </c>
    </row>
    <row r="933" spans="1:14" x14ac:dyDescent="0.2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6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7">
        <v>80.459999999999994</v>
      </c>
    </row>
    <row r="934" spans="1:14" x14ac:dyDescent="0.2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6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7">
        <v>144.78</v>
      </c>
    </row>
    <row r="935" spans="1:14" x14ac:dyDescent="0.2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6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7">
        <v>788.32</v>
      </c>
    </row>
    <row r="936" spans="1:14" x14ac:dyDescent="0.2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7">
        <v>479.36</v>
      </c>
    </row>
    <row r="937" spans="1:14" x14ac:dyDescent="0.2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6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7">
        <v>2078.13</v>
      </c>
    </row>
    <row r="938" spans="1:14" x14ac:dyDescent="0.2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6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7">
        <v>226.64</v>
      </c>
    </row>
    <row r="939" spans="1:14" x14ac:dyDescent="0.2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6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7">
        <v>597.05999999999995</v>
      </c>
    </row>
    <row r="940" spans="1:14" x14ac:dyDescent="0.2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6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7">
        <v>994.38</v>
      </c>
    </row>
    <row r="941" spans="1:14" x14ac:dyDescent="0.2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6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7">
        <v>1042.8</v>
      </c>
    </row>
    <row r="942" spans="1:14" x14ac:dyDescent="0.2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6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7">
        <v>1221.28</v>
      </c>
    </row>
    <row r="943" spans="1:14" x14ac:dyDescent="0.2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6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7">
        <v>558.5</v>
      </c>
    </row>
    <row r="944" spans="1:14" x14ac:dyDescent="0.2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6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7">
        <v>479.76</v>
      </c>
    </row>
    <row r="945" spans="1:14" x14ac:dyDescent="0.2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6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7">
        <v>580.47</v>
      </c>
    </row>
    <row r="946" spans="1:14" x14ac:dyDescent="0.2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7">
        <v>852.44</v>
      </c>
    </row>
    <row r="947" spans="1:14" x14ac:dyDescent="0.2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6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7">
        <v>1382.2</v>
      </c>
    </row>
    <row r="948" spans="1:14" x14ac:dyDescent="0.2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6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7">
        <v>809.92</v>
      </c>
    </row>
    <row r="949" spans="1:14" x14ac:dyDescent="0.2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6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7">
        <v>1862.64</v>
      </c>
    </row>
    <row r="950" spans="1:14" x14ac:dyDescent="0.2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6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7">
        <v>1188.1400000000001</v>
      </c>
    </row>
    <row r="951" spans="1:14" x14ac:dyDescent="0.2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6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7">
        <v>551.9</v>
      </c>
    </row>
    <row r="952" spans="1:14" x14ac:dyDescent="0.2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6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7">
        <v>596.24</v>
      </c>
    </row>
    <row r="953" spans="1:14" x14ac:dyDescent="0.2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6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7">
        <v>612.48</v>
      </c>
    </row>
    <row r="954" spans="1:14" x14ac:dyDescent="0.2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6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7">
        <v>1510.17</v>
      </c>
    </row>
    <row r="955" spans="1:14" x14ac:dyDescent="0.2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6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7">
        <v>131.61000000000001</v>
      </c>
    </row>
    <row r="956" spans="1:14" x14ac:dyDescent="0.2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7">
        <v>1330.32</v>
      </c>
    </row>
    <row r="957" spans="1:14" x14ac:dyDescent="0.2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6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7">
        <v>408.13</v>
      </c>
    </row>
    <row r="958" spans="1:14" x14ac:dyDescent="0.2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6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7">
        <v>321.95999999999998</v>
      </c>
    </row>
    <row r="959" spans="1:14" x14ac:dyDescent="0.2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6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7">
        <v>3219.45</v>
      </c>
    </row>
    <row r="960" spans="1:14" x14ac:dyDescent="0.2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6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7">
        <v>475.98</v>
      </c>
    </row>
    <row r="961" spans="1:14" x14ac:dyDescent="0.2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6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7">
        <v>287.64</v>
      </c>
    </row>
    <row r="962" spans="1:14" x14ac:dyDescent="0.2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6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7">
        <v>1137.21</v>
      </c>
    </row>
    <row r="963" spans="1:14" x14ac:dyDescent="0.2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6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7">
        <v>601.36</v>
      </c>
    </row>
    <row r="964" spans="1:14" x14ac:dyDescent="0.2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6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7">
        <v>284.16000000000003</v>
      </c>
    </row>
    <row r="965" spans="1:14" x14ac:dyDescent="0.2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6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7">
        <v>2651.7</v>
      </c>
    </row>
    <row r="966" spans="1:14" x14ac:dyDescent="0.2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7">
        <v>1822.1</v>
      </c>
    </row>
    <row r="967" spans="1:14" x14ac:dyDescent="0.2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6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7">
        <v>2313.12</v>
      </c>
    </row>
    <row r="968" spans="1:14" x14ac:dyDescent="0.2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6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7">
        <v>1402.6</v>
      </c>
    </row>
    <row r="969" spans="1:14" x14ac:dyDescent="0.2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6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7">
        <v>3194.6</v>
      </c>
    </row>
    <row r="970" spans="1:14" x14ac:dyDescent="0.2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6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7">
        <v>1648.8</v>
      </c>
    </row>
    <row r="971" spans="1:14" x14ac:dyDescent="0.2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6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7">
        <v>440.34</v>
      </c>
    </row>
    <row r="972" spans="1:14" x14ac:dyDescent="0.2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6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7">
        <v>627.15</v>
      </c>
    </row>
    <row r="973" spans="1:14" x14ac:dyDescent="0.2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6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7">
        <v>1210.52</v>
      </c>
    </row>
    <row r="974" spans="1:14" x14ac:dyDescent="0.2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6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7">
        <v>90.27</v>
      </c>
    </row>
    <row r="975" spans="1:14" x14ac:dyDescent="0.2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6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7">
        <v>1153.8499999999999</v>
      </c>
    </row>
    <row r="976" spans="1:14" x14ac:dyDescent="0.2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7">
        <v>1333.9</v>
      </c>
    </row>
    <row r="977" spans="1:14" x14ac:dyDescent="0.2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6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7">
        <v>105.92</v>
      </c>
    </row>
    <row r="978" spans="1:14" x14ac:dyDescent="0.2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6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7">
        <v>1767.9</v>
      </c>
    </row>
    <row r="979" spans="1:14" x14ac:dyDescent="0.2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6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7">
        <v>2597.88</v>
      </c>
    </row>
    <row r="980" spans="1:14" x14ac:dyDescent="0.2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6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7">
        <v>429.96</v>
      </c>
    </row>
    <row r="981" spans="1:14" x14ac:dyDescent="0.2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6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7">
        <v>2007.18</v>
      </c>
    </row>
    <row r="982" spans="1:14" x14ac:dyDescent="0.2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6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7">
        <v>208.95</v>
      </c>
    </row>
    <row r="983" spans="1:14" x14ac:dyDescent="0.2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6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7">
        <v>547.32000000000005</v>
      </c>
    </row>
    <row r="984" spans="1:14" x14ac:dyDescent="0.2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6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7">
        <v>304.11</v>
      </c>
    </row>
    <row r="985" spans="1:14" x14ac:dyDescent="0.2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6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7">
        <v>1185.1199999999999</v>
      </c>
    </row>
    <row r="986" spans="1:14" x14ac:dyDescent="0.2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7">
        <v>77.64</v>
      </c>
    </row>
    <row r="987" spans="1:14" x14ac:dyDescent="0.2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6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7">
        <v>243.71</v>
      </c>
    </row>
    <row r="988" spans="1:14" x14ac:dyDescent="0.2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6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7">
        <v>2579.84</v>
      </c>
    </row>
    <row r="989" spans="1:14" x14ac:dyDescent="0.2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6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7">
        <v>1418.65</v>
      </c>
    </row>
    <row r="990" spans="1:14" x14ac:dyDescent="0.2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6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7">
        <v>1259.1199999999999</v>
      </c>
    </row>
    <row r="991" spans="1:14" x14ac:dyDescent="0.2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6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7">
        <v>984.44</v>
      </c>
    </row>
    <row r="992" spans="1:14" x14ac:dyDescent="0.2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6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7">
        <v>836.52</v>
      </c>
    </row>
    <row r="993" spans="1:14" x14ac:dyDescent="0.2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6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7">
        <v>635.9</v>
      </c>
    </row>
    <row r="994" spans="1:14" x14ac:dyDescent="0.2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6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7">
        <v>1758.63</v>
      </c>
    </row>
    <row r="995" spans="1:14" x14ac:dyDescent="0.2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6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7">
        <v>802.35</v>
      </c>
    </row>
    <row r="996" spans="1:14" x14ac:dyDescent="0.2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7">
        <v>2462.6</v>
      </c>
    </row>
    <row r="997" spans="1:14" x14ac:dyDescent="0.2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6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7">
        <v>226.58</v>
      </c>
    </row>
    <row r="998" spans="1:14" x14ac:dyDescent="0.2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6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7">
        <v>1895.44</v>
      </c>
    </row>
    <row r="999" spans="1:14" x14ac:dyDescent="0.2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6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7">
        <v>1334.25</v>
      </c>
    </row>
    <row r="1000" spans="1:14" x14ac:dyDescent="0.2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6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7">
        <v>367.34</v>
      </c>
    </row>
    <row r="1001" spans="1:14" x14ac:dyDescent="0.2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6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7">
        <v>483.38</v>
      </c>
    </row>
    <row r="1002" spans="1:14" x14ac:dyDescent="0.2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6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7">
        <v>1304.6500000000001</v>
      </c>
    </row>
    <row r="1003" spans="1:14" x14ac:dyDescent="0.2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6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7">
        <v>507.36</v>
      </c>
    </row>
    <row r="1004" spans="1:14" x14ac:dyDescent="0.2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6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7">
        <v>2799.52</v>
      </c>
    </row>
    <row r="1005" spans="1:14" x14ac:dyDescent="0.2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6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7">
        <v>1599.85</v>
      </c>
    </row>
    <row r="1006" spans="1:14" x14ac:dyDescent="0.2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7">
        <v>987.64</v>
      </c>
    </row>
    <row r="1007" spans="1:14" x14ac:dyDescent="0.2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6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7">
        <v>1178.55</v>
      </c>
    </row>
    <row r="1008" spans="1:14" x14ac:dyDescent="0.2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6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7">
        <v>2104.9</v>
      </c>
    </row>
    <row r="1009" spans="1:14" x14ac:dyDescent="0.2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6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7">
        <v>146.52000000000001</v>
      </c>
    </row>
    <row r="1010" spans="1:14" x14ac:dyDescent="0.2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6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7">
        <v>1232.6400000000001</v>
      </c>
    </row>
    <row r="1011" spans="1:14" x14ac:dyDescent="0.2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6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7">
        <v>352.92</v>
      </c>
    </row>
    <row r="1012" spans="1:14" x14ac:dyDescent="0.2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6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7">
        <v>1978.71</v>
      </c>
    </row>
    <row r="1013" spans="1:14" x14ac:dyDescent="0.2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6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7">
        <v>956.72</v>
      </c>
    </row>
    <row r="1014" spans="1:14" x14ac:dyDescent="0.2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6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7">
        <v>120.2</v>
      </c>
    </row>
    <row r="1015" spans="1:14" x14ac:dyDescent="0.2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6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7">
        <v>1202.24</v>
      </c>
    </row>
    <row r="1016" spans="1:14" x14ac:dyDescent="0.2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7">
        <v>1132.25</v>
      </c>
    </row>
    <row r="1017" spans="1:14" x14ac:dyDescent="0.2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6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7">
        <v>698.8</v>
      </c>
    </row>
    <row r="1018" spans="1:14" x14ac:dyDescent="0.2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6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7">
        <v>1343.9</v>
      </c>
    </row>
    <row r="1019" spans="1:14" x14ac:dyDescent="0.2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6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7">
        <v>1361.7</v>
      </c>
    </row>
    <row r="1020" spans="1:14" x14ac:dyDescent="0.2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6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7">
        <v>547.44000000000005</v>
      </c>
    </row>
    <row r="1021" spans="1:14" x14ac:dyDescent="0.2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6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7">
        <v>277.08999999999997</v>
      </c>
    </row>
    <row r="1022" spans="1:14" x14ac:dyDescent="0.2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6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7">
        <v>53</v>
      </c>
    </row>
    <row r="1023" spans="1:14" x14ac:dyDescent="0.2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6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7">
        <v>945.81</v>
      </c>
    </row>
    <row r="1024" spans="1:14" x14ac:dyDescent="0.2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6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7">
        <v>1352.94</v>
      </c>
    </row>
    <row r="1025" spans="1:14" x14ac:dyDescent="0.2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6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7">
        <v>1168.3499999999999</v>
      </c>
    </row>
    <row r="1026" spans="1:14" x14ac:dyDescent="0.2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7">
        <v>1103.25</v>
      </c>
    </row>
    <row r="1027" spans="1:14" x14ac:dyDescent="0.2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6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7">
        <v>23.53</v>
      </c>
    </row>
    <row r="1028" spans="1:14" x14ac:dyDescent="0.2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6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7">
        <v>677.48</v>
      </c>
    </row>
    <row r="1029" spans="1:14" x14ac:dyDescent="0.2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6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7">
        <v>2219.3200000000002</v>
      </c>
    </row>
    <row r="1030" spans="1:14" x14ac:dyDescent="0.2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6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7">
        <v>1761.24</v>
      </c>
    </row>
    <row r="1031" spans="1:14" x14ac:dyDescent="0.2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6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7">
        <v>87.06</v>
      </c>
    </row>
    <row r="1032" spans="1:14" x14ac:dyDescent="0.2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6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7">
        <v>981.12</v>
      </c>
    </row>
    <row r="1033" spans="1:14" x14ac:dyDescent="0.2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6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7">
        <v>3322.55</v>
      </c>
    </row>
    <row r="1034" spans="1:14" x14ac:dyDescent="0.2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6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7">
        <v>618.67999999999995</v>
      </c>
    </row>
    <row r="1035" spans="1:14" x14ac:dyDescent="0.2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6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7">
        <v>370.85</v>
      </c>
    </row>
    <row r="1036" spans="1:14" x14ac:dyDescent="0.2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7">
        <v>2071.92</v>
      </c>
    </row>
    <row r="1037" spans="1:14" x14ac:dyDescent="0.2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6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7">
        <v>2024.44</v>
      </c>
    </row>
    <row r="1038" spans="1:14" x14ac:dyDescent="0.2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6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7">
        <v>1241.49</v>
      </c>
    </row>
    <row r="1039" spans="1:14" x14ac:dyDescent="0.2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6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7">
        <v>249.81</v>
      </c>
    </row>
    <row r="1040" spans="1:14" x14ac:dyDescent="0.2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6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7">
        <v>1087.5899999999999</v>
      </c>
    </row>
    <row r="1041" spans="1:14" x14ac:dyDescent="0.2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6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7">
        <v>598.46</v>
      </c>
    </row>
    <row r="1042" spans="1:14" x14ac:dyDescent="0.2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6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7">
        <v>536.07000000000005</v>
      </c>
    </row>
    <row r="1043" spans="1:14" x14ac:dyDescent="0.2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6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7">
        <v>2235.6</v>
      </c>
    </row>
    <row r="1044" spans="1:14" x14ac:dyDescent="0.2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6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7">
        <v>819.5</v>
      </c>
    </row>
    <row r="1045" spans="1:14" x14ac:dyDescent="0.2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6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7">
        <v>359.92</v>
      </c>
    </row>
    <row r="1046" spans="1:14" x14ac:dyDescent="0.2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7">
        <v>38.49</v>
      </c>
    </row>
    <row r="1047" spans="1:14" x14ac:dyDescent="0.2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6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7">
        <v>1582</v>
      </c>
    </row>
    <row r="1048" spans="1:14" x14ac:dyDescent="0.2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6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7">
        <v>1641.45</v>
      </c>
    </row>
    <row r="1049" spans="1:14" x14ac:dyDescent="0.2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6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7">
        <v>2161.36</v>
      </c>
    </row>
    <row r="1050" spans="1:14" x14ac:dyDescent="0.2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6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7">
        <v>294.60000000000002</v>
      </c>
    </row>
    <row r="1051" spans="1:14" x14ac:dyDescent="0.2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6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7">
        <v>1959.3</v>
      </c>
    </row>
    <row r="1052" spans="1:14" x14ac:dyDescent="0.2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6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7">
        <v>348.5</v>
      </c>
    </row>
    <row r="1053" spans="1:14" x14ac:dyDescent="0.2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6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7">
        <v>132.15</v>
      </c>
    </row>
    <row r="1054" spans="1:14" x14ac:dyDescent="0.2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6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7">
        <v>531.74</v>
      </c>
    </row>
    <row r="1055" spans="1:14" x14ac:dyDescent="0.2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6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7">
        <v>993.24</v>
      </c>
    </row>
    <row r="1056" spans="1:14" x14ac:dyDescent="0.2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7">
        <v>660.66</v>
      </c>
    </row>
    <row r="1057" spans="1:14" x14ac:dyDescent="0.2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6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7">
        <v>1099.28</v>
      </c>
    </row>
    <row r="1058" spans="1:14" x14ac:dyDescent="0.2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6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7">
        <v>972.7</v>
      </c>
    </row>
    <row r="1059" spans="1:14" x14ac:dyDescent="0.2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6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7">
        <v>1286.6400000000001</v>
      </c>
    </row>
    <row r="1060" spans="1:14" x14ac:dyDescent="0.2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6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7">
        <v>824.28</v>
      </c>
    </row>
    <row r="1061" spans="1:14" x14ac:dyDescent="0.2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6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7">
        <v>265.64</v>
      </c>
    </row>
    <row r="1062" spans="1:14" x14ac:dyDescent="0.2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6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7">
        <v>546.86</v>
      </c>
    </row>
    <row r="1063" spans="1:14" x14ac:dyDescent="0.2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6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7">
        <v>658.5</v>
      </c>
    </row>
    <row r="1064" spans="1:14" x14ac:dyDescent="0.2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6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7">
        <v>427.6</v>
      </c>
    </row>
    <row r="1065" spans="1:14" x14ac:dyDescent="0.2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6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7">
        <v>641.36</v>
      </c>
    </row>
    <row r="1066" spans="1:14" x14ac:dyDescent="0.2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7">
        <v>795.24</v>
      </c>
    </row>
    <row r="1067" spans="1:14" x14ac:dyDescent="0.2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6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7">
        <v>3334</v>
      </c>
    </row>
    <row r="1068" spans="1:14" x14ac:dyDescent="0.2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6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7">
        <v>355.09</v>
      </c>
    </row>
    <row r="1069" spans="1:14" x14ac:dyDescent="0.2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6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7">
        <v>632.4</v>
      </c>
    </row>
    <row r="1070" spans="1:14" x14ac:dyDescent="0.2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6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7">
        <v>133.38999999999999</v>
      </c>
    </row>
    <row r="1071" spans="1:14" x14ac:dyDescent="0.2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6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7">
        <v>454.23</v>
      </c>
    </row>
    <row r="1072" spans="1:14" x14ac:dyDescent="0.2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6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7">
        <v>1965.16</v>
      </c>
    </row>
    <row r="1073" spans="1:14" x14ac:dyDescent="0.2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6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7">
        <v>510.28</v>
      </c>
    </row>
    <row r="1074" spans="1:14" x14ac:dyDescent="0.2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6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7">
        <v>392.61</v>
      </c>
    </row>
    <row r="1075" spans="1:14" x14ac:dyDescent="0.2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6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7">
        <v>1448.24</v>
      </c>
    </row>
    <row r="1076" spans="1:14" x14ac:dyDescent="0.2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7">
        <v>222.73</v>
      </c>
    </row>
    <row r="1077" spans="1:14" x14ac:dyDescent="0.2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6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7">
        <v>1105.26</v>
      </c>
    </row>
    <row r="1078" spans="1:14" x14ac:dyDescent="0.2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6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7">
        <v>2746.44</v>
      </c>
    </row>
    <row r="1079" spans="1:14" x14ac:dyDescent="0.2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6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7">
        <v>915.48</v>
      </c>
    </row>
    <row r="1080" spans="1:14" x14ac:dyDescent="0.2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6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7">
        <v>41.09</v>
      </c>
    </row>
    <row r="1081" spans="1:14" x14ac:dyDescent="0.2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6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7">
        <v>3170</v>
      </c>
    </row>
    <row r="1082" spans="1:14" x14ac:dyDescent="0.2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6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7">
        <v>2323.6999999999998</v>
      </c>
    </row>
    <row r="1083" spans="1:14" x14ac:dyDescent="0.2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6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7">
        <v>1702.4</v>
      </c>
    </row>
    <row r="1084" spans="1:14" x14ac:dyDescent="0.2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6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7">
        <v>1719.66</v>
      </c>
    </row>
    <row r="1085" spans="1:14" x14ac:dyDescent="0.2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6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7">
        <v>123.28</v>
      </c>
    </row>
    <row r="1086" spans="1:14" x14ac:dyDescent="0.2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7">
        <v>70.819999999999993</v>
      </c>
    </row>
    <row r="1087" spans="1:14" x14ac:dyDescent="0.2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6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7">
        <v>1293.3800000000001</v>
      </c>
    </row>
    <row r="1088" spans="1:14" x14ac:dyDescent="0.2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6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7">
        <v>1026.8399999999999</v>
      </c>
    </row>
    <row r="1089" spans="1:14" x14ac:dyDescent="0.2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6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7">
        <v>2772.28</v>
      </c>
    </row>
    <row r="1090" spans="1:14" x14ac:dyDescent="0.2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6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7">
        <v>1474.29</v>
      </c>
    </row>
    <row r="1091" spans="1:14" x14ac:dyDescent="0.2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6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7">
        <v>1199.48</v>
      </c>
    </row>
    <row r="1092" spans="1:14" x14ac:dyDescent="0.2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6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7">
        <v>1300.5</v>
      </c>
    </row>
    <row r="1093" spans="1:14" x14ac:dyDescent="0.2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6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7">
        <v>628.44000000000005</v>
      </c>
    </row>
    <row r="1094" spans="1:14" x14ac:dyDescent="0.2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6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7">
        <v>1046</v>
      </c>
    </row>
    <row r="1095" spans="1:14" x14ac:dyDescent="0.2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6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7">
        <v>789.44</v>
      </c>
    </row>
    <row r="1096" spans="1:14" x14ac:dyDescent="0.2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7">
        <v>2595.64</v>
      </c>
    </row>
    <row r="1097" spans="1:14" x14ac:dyDescent="0.2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6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7">
        <v>883.08</v>
      </c>
    </row>
    <row r="1098" spans="1:14" x14ac:dyDescent="0.2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6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7">
        <v>929.84</v>
      </c>
    </row>
    <row r="1099" spans="1:14" x14ac:dyDescent="0.2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6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7">
        <v>2532.25</v>
      </c>
    </row>
    <row r="1100" spans="1:14" x14ac:dyDescent="0.2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6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7">
        <v>1023.44</v>
      </c>
    </row>
    <row r="1101" spans="1:14" x14ac:dyDescent="0.2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6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7">
        <v>250.46</v>
      </c>
    </row>
    <row r="1102" spans="1:14" x14ac:dyDescent="0.2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6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7">
        <v>190.55</v>
      </c>
    </row>
    <row r="1103" spans="1:14" x14ac:dyDescent="0.2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6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7">
        <v>485.91</v>
      </c>
    </row>
    <row r="1104" spans="1:14" x14ac:dyDescent="0.2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6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7">
        <v>1388.68</v>
      </c>
    </row>
    <row r="1105" spans="1:14" x14ac:dyDescent="0.2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6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7">
        <v>1105.28</v>
      </c>
    </row>
    <row r="1106" spans="1:14" x14ac:dyDescent="0.2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7">
        <v>1259.04</v>
      </c>
    </row>
    <row r="1107" spans="1:14" x14ac:dyDescent="0.2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6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7">
        <v>1427.07</v>
      </c>
    </row>
    <row r="1108" spans="1:14" x14ac:dyDescent="0.2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6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7">
        <v>372.8</v>
      </c>
    </row>
    <row r="1109" spans="1:14" x14ac:dyDescent="0.2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6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7">
        <v>126.42</v>
      </c>
    </row>
    <row r="1110" spans="1:14" x14ac:dyDescent="0.2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6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7">
        <v>634.94000000000005</v>
      </c>
    </row>
    <row r="1111" spans="1:14" x14ac:dyDescent="0.2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6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7">
        <v>309.88</v>
      </c>
    </row>
    <row r="1112" spans="1:14" x14ac:dyDescent="0.2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6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7">
        <v>252.93</v>
      </c>
    </row>
    <row r="1113" spans="1:14" x14ac:dyDescent="0.2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6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7">
        <v>937.8</v>
      </c>
    </row>
    <row r="1114" spans="1:14" x14ac:dyDescent="0.2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6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7">
        <v>356.81</v>
      </c>
    </row>
    <row r="1115" spans="1:14" x14ac:dyDescent="0.2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6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7">
        <v>839.96</v>
      </c>
    </row>
    <row r="1116" spans="1:14" x14ac:dyDescent="0.2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7">
        <v>1979.64</v>
      </c>
    </row>
    <row r="1117" spans="1:14" x14ac:dyDescent="0.2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6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7">
        <v>672.64</v>
      </c>
    </row>
    <row r="1118" spans="1:14" x14ac:dyDescent="0.2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6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7">
        <v>1062.98</v>
      </c>
    </row>
    <row r="1119" spans="1:14" x14ac:dyDescent="0.2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6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7">
        <v>1765.32</v>
      </c>
    </row>
    <row r="1120" spans="1:14" x14ac:dyDescent="0.2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6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7">
        <v>754.44</v>
      </c>
    </row>
    <row r="1121" spans="1:14" x14ac:dyDescent="0.2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6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7">
        <v>684.65</v>
      </c>
    </row>
    <row r="1122" spans="1:14" x14ac:dyDescent="0.2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6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7">
        <v>195.86</v>
      </c>
    </row>
    <row r="1123" spans="1:14" x14ac:dyDescent="0.2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6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7">
        <v>151.02000000000001</v>
      </c>
    </row>
    <row r="1124" spans="1:14" x14ac:dyDescent="0.2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6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7">
        <v>3390.95</v>
      </c>
    </row>
    <row r="1125" spans="1:14" x14ac:dyDescent="0.2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6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7">
        <v>1662.75</v>
      </c>
    </row>
    <row r="1126" spans="1:14" x14ac:dyDescent="0.2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7">
        <v>2307.48</v>
      </c>
    </row>
    <row r="1127" spans="1:14" x14ac:dyDescent="0.2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6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7">
        <v>1633.44</v>
      </c>
    </row>
    <row r="1128" spans="1:14" x14ac:dyDescent="0.2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6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7">
        <v>950.55</v>
      </c>
    </row>
    <row r="1129" spans="1:14" x14ac:dyDescent="0.2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6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7">
        <v>1808.25</v>
      </c>
    </row>
    <row r="1130" spans="1:14" x14ac:dyDescent="0.2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6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7">
        <v>1940.37</v>
      </c>
    </row>
    <row r="1131" spans="1:14" x14ac:dyDescent="0.2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6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7">
        <v>1674.84</v>
      </c>
    </row>
    <row r="1132" spans="1:14" x14ac:dyDescent="0.2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6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7">
        <v>646.9</v>
      </c>
    </row>
    <row r="1133" spans="1:14" x14ac:dyDescent="0.2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6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7">
        <v>694.5</v>
      </c>
    </row>
    <row r="1134" spans="1:14" x14ac:dyDescent="0.2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6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7">
        <v>674.64</v>
      </c>
    </row>
    <row r="1135" spans="1:14" x14ac:dyDescent="0.2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6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7">
        <v>935.82</v>
      </c>
    </row>
    <row r="1136" spans="1:14" x14ac:dyDescent="0.2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7">
        <v>153.12</v>
      </c>
    </row>
    <row r="1137" spans="1:14" x14ac:dyDescent="0.2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6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7">
        <v>146.82</v>
      </c>
    </row>
    <row r="1138" spans="1:14" x14ac:dyDescent="0.2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6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7">
        <v>2004.99</v>
      </c>
    </row>
    <row r="1139" spans="1:14" x14ac:dyDescent="0.2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6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7">
        <v>1640.84</v>
      </c>
    </row>
    <row r="1140" spans="1:14" x14ac:dyDescent="0.2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6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7">
        <v>1177.6400000000001</v>
      </c>
    </row>
    <row r="1141" spans="1:14" x14ac:dyDescent="0.2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6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7">
        <v>1505.46</v>
      </c>
    </row>
    <row r="1142" spans="1:14" x14ac:dyDescent="0.2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6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7">
        <v>1105.6600000000001</v>
      </c>
    </row>
    <row r="1143" spans="1:14" x14ac:dyDescent="0.2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6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7">
        <v>1495.98</v>
      </c>
    </row>
    <row r="1144" spans="1:14" x14ac:dyDescent="0.2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6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7">
        <v>2780.4</v>
      </c>
    </row>
    <row r="1145" spans="1:14" x14ac:dyDescent="0.2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6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7">
        <v>381.61</v>
      </c>
    </row>
    <row r="1146" spans="1:14" x14ac:dyDescent="0.2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7">
        <v>2539.6999999999998</v>
      </c>
    </row>
    <row r="1147" spans="1:14" x14ac:dyDescent="0.2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6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7">
        <v>1714.59</v>
      </c>
    </row>
    <row r="1148" spans="1:14" x14ac:dyDescent="0.2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6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7">
        <v>2107.1999999999998</v>
      </c>
    </row>
    <row r="1149" spans="1:14" x14ac:dyDescent="0.2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6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7">
        <v>1176.5999999999999</v>
      </c>
    </row>
    <row r="1150" spans="1:14" x14ac:dyDescent="0.2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6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7">
        <v>355.15</v>
      </c>
    </row>
    <row r="1151" spans="1:14" x14ac:dyDescent="0.2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6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7">
        <v>1390.58</v>
      </c>
    </row>
    <row r="1152" spans="1:14" x14ac:dyDescent="0.2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6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7">
        <v>1210.5999999999999</v>
      </c>
    </row>
    <row r="1153" spans="1:14" x14ac:dyDescent="0.2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6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7">
        <v>1216.08</v>
      </c>
    </row>
    <row r="1154" spans="1:14" x14ac:dyDescent="0.2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6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7">
        <v>688.36</v>
      </c>
    </row>
    <row r="1155" spans="1:14" x14ac:dyDescent="0.2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6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7">
        <v>2786.84</v>
      </c>
    </row>
    <row r="1156" spans="1:14" x14ac:dyDescent="0.2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7">
        <v>595.89</v>
      </c>
    </row>
    <row r="1157" spans="1:14" x14ac:dyDescent="0.2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6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7">
        <v>2138.2800000000002</v>
      </c>
    </row>
    <row r="1158" spans="1:14" x14ac:dyDescent="0.2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6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7">
        <v>2763.12</v>
      </c>
    </row>
    <row r="1159" spans="1:14" x14ac:dyDescent="0.2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6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7">
        <v>904.65</v>
      </c>
    </row>
    <row r="1160" spans="1:14" x14ac:dyDescent="0.2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6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7">
        <v>109.68</v>
      </c>
    </row>
    <row r="1161" spans="1:14" x14ac:dyDescent="0.2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6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7">
        <v>1866.8</v>
      </c>
    </row>
    <row r="1162" spans="1:14" x14ac:dyDescent="0.2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6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7">
        <v>541.64</v>
      </c>
    </row>
    <row r="1163" spans="1:14" x14ac:dyDescent="0.2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6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7">
        <v>11.39</v>
      </c>
    </row>
    <row r="1164" spans="1:14" x14ac:dyDescent="0.2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6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7">
        <v>448.74</v>
      </c>
    </row>
    <row r="1165" spans="1:14" x14ac:dyDescent="0.2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6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7">
        <v>918.87</v>
      </c>
    </row>
    <row r="1166" spans="1:14" x14ac:dyDescent="0.2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7">
        <v>1577.85</v>
      </c>
    </row>
    <row r="1167" spans="1:14" x14ac:dyDescent="0.2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6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7">
        <v>671.37</v>
      </c>
    </row>
    <row r="1168" spans="1:14" x14ac:dyDescent="0.2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6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7">
        <v>973.41</v>
      </c>
    </row>
    <row r="1169" spans="1:14" x14ac:dyDescent="0.2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6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7">
        <v>185.74</v>
      </c>
    </row>
    <row r="1170" spans="1:14" x14ac:dyDescent="0.2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6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7">
        <v>662.84</v>
      </c>
    </row>
    <row r="1171" spans="1:14" x14ac:dyDescent="0.2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6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7">
        <v>525.42999999999995</v>
      </c>
    </row>
    <row r="1172" spans="1:14" x14ac:dyDescent="0.2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6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7">
        <v>1394.38</v>
      </c>
    </row>
    <row r="1173" spans="1:14" x14ac:dyDescent="0.2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6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7">
        <v>2073.6</v>
      </c>
    </row>
    <row r="1174" spans="1:14" x14ac:dyDescent="0.2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6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7">
        <v>395.88</v>
      </c>
    </row>
    <row r="1175" spans="1:14" x14ac:dyDescent="0.2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6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7">
        <v>208.36</v>
      </c>
    </row>
    <row r="1176" spans="1:14" x14ac:dyDescent="0.2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7">
        <v>667.02</v>
      </c>
    </row>
    <row r="1177" spans="1:14" x14ac:dyDescent="0.2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6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7">
        <v>275.22000000000003</v>
      </c>
    </row>
    <row r="1178" spans="1:14" x14ac:dyDescent="0.2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6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7">
        <v>427.66</v>
      </c>
    </row>
    <row r="1179" spans="1:14" x14ac:dyDescent="0.2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6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7">
        <v>127.55</v>
      </c>
    </row>
    <row r="1180" spans="1:14" x14ac:dyDescent="0.2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6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7">
        <v>70.239999999999995</v>
      </c>
    </row>
    <row r="1181" spans="1:14" x14ac:dyDescent="0.2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6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7">
        <v>2592.75</v>
      </c>
    </row>
    <row r="1182" spans="1:14" x14ac:dyDescent="0.2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6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7">
        <v>1193.44</v>
      </c>
    </row>
    <row r="1183" spans="1:14" x14ac:dyDescent="0.2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6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7">
        <v>476.22</v>
      </c>
    </row>
    <row r="1184" spans="1:14" x14ac:dyDescent="0.2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6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7">
        <v>840.58</v>
      </c>
    </row>
    <row r="1185" spans="1:14" x14ac:dyDescent="0.2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6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7">
        <v>281.52</v>
      </c>
    </row>
    <row r="1186" spans="1:14" x14ac:dyDescent="0.2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7">
        <v>204.08</v>
      </c>
    </row>
    <row r="1187" spans="1:14" x14ac:dyDescent="0.2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6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7">
        <v>343.31</v>
      </c>
    </row>
    <row r="1188" spans="1:14" x14ac:dyDescent="0.2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6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7">
        <v>163.32</v>
      </c>
    </row>
    <row r="1189" spans="1:14" x14ac:dyDescent="0.2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6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7">
        <v>369.2</v>
      </c>
    </row>
    <row r="1190" spans="1:14" x14ac:dyDescent="0.2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6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7">
        <v>742.58</v>
      </c>
    </row>
    <row r="1191" spans="1:14" x14ac:dyDescent="0.2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6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7">
        <v>1946.1</v>
      </c>
    </row>
    <row r="1192" spans="1:14" x14ac:dyDescent="0.2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6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7">
        <v>1849.17</v>
      </c>
    </row>
    <row r="1193" spans="1:14" x14ac:dyDescent="0.2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6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7">
        <v>1505.72</v>
      </c>
    </row>
    <row r="1194" spans="1:14" x14ac:dyDescent="0.2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6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7">
        <v>1298.55</v>
      </c>
    </row>
    <row r="1195" spans="1:14" x14ac:dyDescent="0.2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6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7">
        <v>687.89</v>
      </c>
    </row>
    <row r="1196" spans="1:14" x14ac:dyDescent="0.2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7">
        <v>568.32000000000005</v>
      </c>
    </row>
    <row r="1197" spans="1:14" x14ac:dyDescent="0.2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6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7">
        <v>107.04</v>
      </c>
    </row>
    <row r="1198" spans="1:14" x14ac:dyDescent="0.2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6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7">
        <v>1325.06</v>
      </c>
    </row>
    <row r="1199" spans="1:14" x14ac:dyDescent="0.2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6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7">
        <v>873.68</v>
      </c>
    </row>
    <row r="1200" spans="1:14" x14ac:dyDescent="0.2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6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7">
        <v>1050.08</v>
      </c>
    </row>
    <row r="1201" spans="1:14" x14ac:dyDescent="0.2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6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7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91C7-02B7-6E43-8079-6FA0E5AE37F4}">
  <dimension ref="A1:E14"/>
  <sheetViews>
    <sheetView zoomScale="140" zoomScaleNormal="140" workbookViewId="0">
      <selection activeCell="B4" sqref="B4"/>
    </sheetView>
  </sheetViews>
  <sheetFormatPr baseColWidth="10" defaultRowHeight="15" x14ac:dyDescent="0.2"/>
  <cols>
    <col min="1" max="1" width="26" customWidth="1"/>
    <col min="2" max="2" width="14.83203125" customWidth="1"/>
    <col min="3" max="3" width="16.6640625" customWidth="1"/>
  </cols>
  <sheetData>
    <row r="1" spans="1:5" ht="16" x14ac:dyDescent="0.2">
      <c r="A1" s="9" t="s">
        <v>4285</v>
      </c>
    </row>
    <row r="3" spans="1:5" x14ac:dyDescent="0.2">
      <c r="A3" s="10" t="s">
        <v>4286</v>
      </c>
      <c r="B3" s="10" t="s">
        <v>13</v>
      </c>
      <c r="C3" s="10" t="s">
        <v>5</v>
      </c>
      <c r="D3" s="10" t="s">
        <v>4</v>
      </c>
      <c r="E3" s="10" t="s">
        <v>10</v>
      </c>
    </row>
    <row r="4" spans="1:5" x14ac:dyDescent="0.2">
      <c r="A4" s="11" t="s">
        <v>4287</v>
      </c>
      <c r="B4" s="11">
        <f>COUNT(Table1[TotalPrice])</f>
        <v>1200</v>
      </c>
      <c r="C4" s="11">
        <f>COUNT(Table1[UnitPrice])</f>
        <v>1200</v>
      </c>
      <c r="D4" s="11">
        <f>COUNT(Table1[Quantity])</f>
        <v>1200</v>
      </c>
      <c r="E4" s="11">
        <f>COUNT(Table1[ItemsInCart])</f>
        <v>1200</v>
      </c>
    </row>
    <row r="5" spans="1:5" x14ac:dyDescent="0.2">
      <c r="A5" s="11" t="s">
        <v>4288</v>
      </c>
      <c r="B5" s="12">
        <f>AVERAGE(Table1[TotalPrice])</f>
        <v>1053.9683000000005</v>
      </c>
      <c r="C5" s="12">
        <f>AVERAGE(Table1[UnitPrice])</f>
        <v>356.41275000000007</v>
      </c>
      <c r="D5" s="12">
        <f>AVERAGE(Table1[Quantity])</f>
        <v>2.9458333333333333</v>
      </c>
      <c r="E5" s="12">
        <f>AVERAGE(Table1[ItemsInCart])</f>
        <v>5.4850000000000003</v>
      </c>
    </row>
    <row r="6" spans="1:5" x14ac:dyDescent="0.2">
      <c r="A6" s="11" t="s">
        <v>4289</v>
      </c>
      <c r="B6" s="12">
        <f>MEDIAN(Table1[TotalPrice])</f>
        <v>823.61500000000001</v>
      </c>
      <c r="C6" s="12">
        <f>MEDIAN(Table1[UnitPrice])</f>
        <v>364.21</v>
      </c>
      <c r="D6" s="12">
        <f>MEDIAN(Table1[Quantity])</f>
        <v>3</v>
      </c>
      <c r="E6" s="12">
        <f>MEDIAN(Table1[ItemsInCart])</f>
        <v>5</v>
      </c>
    </row>
    <row r="7" spans="1:5" x14ac:dyDescent="0.2">
      <c r="A7" s="11" t="s">
        <v>4290</v>
      </c>
      <c r="B7" s="12">
        <f>MIN(Table1[TotalPrice])</f>
        <v>11.39</v>
      </c>
      <c r="C7" s="12">
        <f>MIN(Table1[UnitPrice])</f>
        <v>11.39</v>
      </c>
      <c r="D7" s="12">
        <f>MIN(Table1[Quantity])</f>
        <v>1</v>
      </c>
      <c r="E7" s="12">
        <f>MIN(Table1[ItemsInCart])</f>
        <v>1</v>
      </c>
    </row>
    <row r="8" spans="1:5" x14ac:dyDescent="0.2">
      <c r="A8" s="11" t="s">
        <v>4291</v>
      </c>
      <c r="B8" s="12">
        <f>MAX(Table1[TotalPrice])</f>
        <v>3456.4</v>
      </c>
      <c r="C8" s="12">
        <f>MAX(Table1[UnitPrice])</f>
        <v>699.93</v>
      </c>
      <c r="D8" s="12">
        <f>MAX(Table1[Quantity])</f>
        <v>5</v>
      </c>
      <c r="E8" s="12">
        <f>MAX(Table1[ItemsInCart])</f>
        <v>10</v>
      </c>
    </row>
    <row r="9" spans="1:5" x14ac:dyDescent="0.2">
      <c r="A9" s="11" t="s">
        <v>4292</v>
      </c>
      <c r="B9" s="12">
        <f>STDEV(Table1[TotalPrice])</f>
        <v>819.85655836464559</v>
      </c>
      <c r="C9" s="12">
        <f>STDEV(Table1[UnitPrice])</f>
        <v>197.17714641491236</v>
      </c>
      <c r="D9" s="12">
        <f>STDEV(Table1[Quantity])</f>
        <v>1.4075570987983175</v>
      </c>
      <c r="E9" s="12">
        <f>STDEV(Table1[ItemsInCart])</f>
        <v>2.2819833201028645</v>
      </c>
    </row>
    <row r="10" spans="1:5" x14ac:dyDescent="0.2">
      <c r="A10" s="11" t="s">
        <v>4293</v>
      </c>
      <c r="B10" s="12">
        <f>QUARTILE(Table1[TotalPrice],1)</f>
        <v>410.52</v>
      </c>
      <c r="C10" s="12">
        <f>QUARTILE(Table1[UnitPrice],1)</f>
        <v>186.0625</v>
      </c>
      <c r="D10" s="12">
        <f>QUARTILE(Table1[Quantity],1)</f>
        <v>2</v>
      </c>
      <c r="E10" s="12">
        <f>QUARTILE(Table1[ItemsInCart],1)</f>
        <v>4</v>
      </c>
    </row>
    <row r="11" spans="1:5" x14ac:dyDescent="0.2">
      <c r="A11" s="11" t="s">
        <v>4294</v>
      </c>
      <c r="B11" s="12">
        <f>QUARTILE(Table1[TotalPrice],3)</f>
        <v>1578.4749999999999</v>
      </c>
      <c r="C11" s="12">
        <f>QUARTILE(Table1[UnitPrice],3)</f>
        <v>521.56999999999994</v>
      </c>
      <c r="D11" s="12">
        <f>QUARTILE(Table1[Quantity],3)</f>
        <v>4</v>
      </c>
      <c r="E11" s="12">
        <f>QUARTILE(Table1[ItemsInCart],3)</f>
        <v>7</v>
      </c>
    </row>
    <row r="12" spans="1:5" x14ac:dyDescent="0.2">
      <c r="A12" s="11" t="s">
        <v>4295</v>
      </c>
      <c r="B12" s="12">
        <f>B5-B6</f>
        <v>230.35330000000044</v>
      </c>
      <c r="C12" s="12"/>
      <c r="D12" s="12"/>
      <c r="E12" s="12"/>
    </row>
    <row r="14" spans="1:5" x14ac:dyDescent="0.2">
      <c r="A14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1B3D6-E629-4D45-95C2-986355656894}">
  <dimension ref="A1:F50"/>
  <sheetViews>
    <sheetView topLeftCell="E6" zoomScaleNormal="100" workbookViewId="0">
      <selection activeCell="S35" sqref="S35"/>
    </sheetView>
  </sheetViews>
  <sheetFormatPr baseColWidth="10" defaultRowHeight="15" x14ac:dyDescent="0.2"/>
  <cols>
    <col min="3" max="3" width="13.6640625" customWidth="1"/>
  </cols>
  <sheetData>
    <row r="1" spans="1:6" ht="16" x14ac:dyDescent="0.2">
      <c r="A1" s="9" t="s">
        <v>4352</v>
      </c>
    </row>
    <row r="3" spans="1:6" x14ac:dyDescent="0.2">
      <c r="A3" s="14" t="s">
        <v>4296</v>
      </c>
    </row>
    <row r="4" spans="1:6" x14ac:dyDescent="0.2">
      <c r="A4" s="10" t="s">
        <v>4297</v>
      </c>
      <c r="B4" s="10" t="s">
        <v>4298</v>
      </c>
      <c r="C4" s="10" t="s">
        <v>4299</v>
      </c>
      <c r="D4" s="10" t="s">
        <v>4300</v>
      </c>
      <c r="E4" s="10" t="s">
        <v>4301</v>
      </c>
    </row>
    <row r="5" spans="1:6" x14ac:dyDescent="0.2">
      <c r="A5" s="11" t="s">
        <v>2408</v>
      </c>
      <c r="B5" s="11">
        <f>COUNTIF(Table1[Product],"Laptop")</f>
        <v>173</v>
      </c>
      <c r="C5" s="12">
        <f>SUMIF(Table1[Product],"Laptop",Table1[TotalPrice])</f>
        <v>192126.55999999994</v>
      </c>
      <c r="D5" s="12">
        <f t="shared" ref="D5:D11" si="0">C5/B5</f>
        <v>1110.558150289017</v>
      </c>
      <c r="E5" s="15">
        <f>C5/SUM(Table1[TotalPrice])</f>
        <v>0.15190728854621771</v>
      </c>
    </row>
    <row r="6" spans="1:6" x14ac:dyDescent="0.2">
      <c r="A6" s="11" t="s">
        <v>2404</v>
      </c>
      <c r="B6" s="11">
        <f>COUNTIF(Table1[Product],"Phone")</f>
        <v>156</v>
      </c>
      <c r="C6" s="12">
        <f>SUMIF(Table1[Product],"Phone",Table1[TotalPrice])</f>
        <v>151722.39000000001</v>
      </c>
      <c r="D6" s="12">
        <f t="shared" si="0"/>
        <v>972.57942307692315</v>
      </c>
      <c r="E6" s="15">
        <f>C6/SUM(Table1[TotalPrice])</f>
        <v>0.11996122179386227</v>
      </c>
    </row>
    <row r="7" spans="1:6" x14ac:dyDescent="0.2">
      <c r="A7" s="11" t="s">
        <v>2405</v>
      </c>
      <c r="B7" s="11">
        <f>COUNTIF(Table1[Product],"Tablet")</f>
        <v>179</v>
      </c>
      <c r="C7" s="12">
        <f>SUMIF(Table1[Product],"Tablet",Table1[TotalPrice])</f>
        <v>186568.95000000007</v>
      </c>
      <c r="D7" s="12">
        <f t="shared" si="0"/>
        <v>1042.2846368715088</v>
      </c>
      <c r="E7" s="15">
        <f>C7/SUM(Table1[TotalPrice])</f>
        <v>0.14751309408451849</v>
      </c>
    </row>
    <row r="8" spans="1:6" x14ac:dyDescent="0.2">
      <c r="A8" s="11" t="s">
        <v>2403</v>
      </c>
      <c r="B8" s="11">
        <f>COUNTIF(Table1[Product],"Monitor")</f>
        <v>163</v>
      </c>
      <c r="C8" s="12">
        <f>SUMIF(Table1[Product],"Monitor",Table1[TotalPrice])</f>
        <v>175651.40999999997</v>
      </c>
      <c r="D8" s="12">
        <f t="shared" si="0"/>
        <v>1077.6160122699384</v>
      </c>
      <c r="E8" s="15">
        <f>C8/SUM(Table1[TotalPrice])</f>
        <v>0.13888100334706455</v>
      </c>
    </row>
    <row r="9" spans="1:6" x14ac:dyDescent="0.2">
      <c r="A9" s="11" t="s">
        <v>2407</v>
      </c>
      <c r="B9" s="11">
        <f>COUNTIF(Table1[Product],"Printer")</f>
        <v>181</v>
      </c>
      <c r="C9" s="12">
        <f>SUMIF(Table1[Product],"Printer",Table1[TotalPrice])</f>
        <v>195612.60999999996</v>
      </c>
      <c r="D9" s="12">
        <f t="shared" si="0"/>
        <v>1080.7326519337014</v>
      </c>
      <c r="E9" s="15">
        <f>C9/SUM(Table1[TotalPrice])</f>
        <v>0.15466357795897015</v>
      </c>
    </row>
    <row r="10" spans="1:6" x14ac:dyDescent="0.2">
      <c r="A10" s="11" t="s">
        <v>2409</v>
      </c>
      <c r="B10" s="11">
        <f>COUNTIF(Table1[Product],"Desk")</f>
        <v>170</v>
      </c>
      <c r="C10" s="12">
        <f>SUMIF(Table1[Product],"Desk",Table1[TotalPrice])</f>
        <v>167459.93</v>
      </c>
      <c r="D10" s="12">
        <f t="shared" si="0"/>
        <v>985.05841176470585</v>
      </c>
      <c r="E10" s="15">
        <f>C10/SUM(Table1[TotalPrice])</f>
        <v>0.13240430634077574</v>
      </c>
    </row>
    <row r="11" spans="1:6" x14ac:dyDescent="0.2">
      <c r="A11" s="11" t="s">
        <v>2406</v>
      </c>
      <c r="B11" s="11">
        <f>COUNTIF(Table1[Product],"Chair")</f>
        <v>178</v>
      </c>
      <c r="C11" s="12">
        <f>SUMIF(Table1[Product],"Chair",Table1[TotalPrice])</f>
        <v>195620.11000000002</v>
      </c>
      <c r="D11" s="12">
        <f t="shared" si="0"/>
        <v>1098.989382022472</v>
      </c>
      <c r="E11" s="15">
        <f>C11/SUM(Table1[TotalPrice])</f>
        <v>0.15466950792859072</v>
      </c>
    </row>
    <row r="14" spans="1:6" x14ac:dyDescent="0.2">
      <c r="A14" s="14" t="s">
        <v>4302</v>
      </c>
    </row>
    <row r="15" spans="1:6" x14ac:dyDescent="0.2">
      <c r="A15" s="10" t="s">
        <v>4297</v>
      </c>
      <c r="B15" s="10" t="s">
        <v>4298</v>
      </c>
      <c r="C15" s="10" t="s">
        <v>4299</v>
      </c>
      <c r="D15" s="10" t="s">
        <v>4300</v>
      </c>
      <c r="E15" s="10" t="s">
        <v>4301</v>
      </c>
      <c r="F15" s="10" t="s">
        <v>4303</v>
      </c>
    </row>
    <row r="16" spans="1:6" x14ac:dyDescent="0.2">
      <c r="A16" s="11" t="s">
        <v>4280</v>
      </c>
      <c r="B16" s="11">
        <f>COUNTIF(Table1[ReferralSource],"Email")</f>
        <v>250</v>
      </c>
      <c r="C16" s="12">
        <f>SUMIF(Table1[ReferralSource],"Email",Table1[TotalPrice])</f>
        <v>261808.55000000002</v>
      </c>
      <c r="D16" s="12">
        <f>C16/B16</f>
        <v>1047.2342000000001</v>
      </c>
      <c r="E16" s="15">
        <f>C16/SUM(Table1[TotalPrice])</f>
        <v>0.20700223305261325</v>
      </c>
      <c r="F16" s="15">
        <f>COUNTIFS(Table1[ReferralSource],"Email",Table1[OrderStatus],"Cancelled")/B16</f>
        <v>0.23599999999999999</v>
      </c>
    </row>
    <row r="17" spans="1:6" x14ac:dyDescent="0.2">
      <c r="A17" s="11" t="s">
        <v>4281</v>
      </c>
      <c r="B17" s="11">
        <f>COUNTIF(Table1[ReferralSource],"Facebook")</f>
        <v>228</v>
      </c>
      <c r="C17" s="12">
        <f>SUMIF(Table1[ReferralSource],"Facebook",Table1[TotalPrice])</f>
        <v>250410.9</v>
      </c>
      <c r="D17" s="12">
        <f t="shared" ref="D17:D20" si="1">C17/B17</f>
        <v>1098.2934210526316</v>
      </c>
      <c r="E17" s="15">
        <f>C17/SUM(Table1[TotalPrice])</f>
        <v>0.1979905372865578</v>
      </c>
      <c r="F17" s="15">
        <f>COUNTIFS(Table1[ReferralSource],"Facebook",Table1[OrderStatus],"Cancelled")/B17</f>
        <v>0.18421052631578946</v>
      </c>
    </row>
    <row r="18" spans="1:6" x14ac:dyDescent="0.2">
      <c r="A18" s="11" t="s">
        <v>4282</v>
      </c>
      <c r="B18" s="11">
        <f>COUNTIF(Table1[ReferralSource],"Google")</f>
        <v>241</v>
      </c>
      <c r="C18" s="12">
        <f>SUMIF(Table1[ReferralSource],"Google",Table1[TotalPrice])</f>
        <v>250441.47999999998</v>
      </c>
      <c r="D18" s="12">
        <f t="shared" si="1"/>
        <v>1039.1762655601658</v>
      </c>
      <c r="E18" s="15">
        <f>C18/SUM(Table1[TotalPrice])</f>
        <v>0.19801471574935722</v>
      </c>
      <c r="F18" s="15">
        <f>COUNTIFS(Table1[ReferralSource],"Google",Table1[OrderStatus],"Cancelled")/B18</f>
        <v>0.24066390041493776</v>
      </c>
    </row>
    <row r="19" spans="1:6" x14ac:dyDescent="0.2">
      <c r="A19" s="11" t="s">
        <v>4278</v>
      </c>
      <c r="B19" s="11">
        <f>COUNTIF(Table1[ReferralSource],"Instagram")</f>
        <v>259</v>
      </c>
      <c r="C19" s="12">
        <f>SUMIF(Table1[ReferralSource],"Instagram",Table1[TotalPrice])</f>
        <v>275285.45000000007</v>
      </c>
      <c r="D19" s="12">
        <f t="shared" si="1"/>
        <v>1062.8781853281855</v>
      </c>
      <c r="E19" s="15">
        <f>C19/SUM(Table1[TotalPrice])</f>
        <v>0.21765791406313326</v>
      </c>
      <c r="F19" s="15">
        <f>COUNTIFS(Table1[ReferralSource],"Instagram",Table1[OrderStatus],"Cancelled")/B19</f>
        <v>0.15830115830115829</v>
      </c>
    </row>
    <row r="20" spans="1:6" x14ac:dyDescent="0.2">
      <c r="A20" s="11" t="s">
        <v>4279</v>
      </c>
      <c r="B20" s="11">
        <f>COUNTIF(Table1[ReferralSource],"Referral")</f>
        <v>222</v>
      </c>
      <c r="C20" s="12">
        <f>SUMIF(Table1[ReferralSource],"Referral",Table1[TotalPrice])</f>
        <v>226815.5799999999</v>
      </c>
      <c r="D20" s="12">
        <f t="shared" si="1"/>
        <v>1021.6918018018014</v>
      </c>
      <c r="E20" s="15">
        <f>C20/SUM(Table1[TotalPrice])</f>
        <v>0.17933459984833813</v>
      </c>
      <c r="F20" s="15">
        <f>COUNTIFS(Table1[ReferralSource],"Referral",Table1[OrderStatus],"Cancelled")/B20</f>
        <v>0.22522522522522523</v>
      </c>
    </row>
    <row r="23" spans="1:6" x14ac:dyDescent="0.2">
      <c r="A23" s="14" t="s">
        <v>4304</v>
      </c>
    </row>
    <row r="24" spans="1:6" x14ac:dyDescent="0.2">
      <c r="A24" s="10" t="s">
        <v>4297</v>
      </c>
      <c r="B24" s="10" t="s">
        <v>4298</v>
      </c>
      <c r="C24" s="10" t="s">
        <v>4299</v>
      </c>
      <c r="D24" s="10" t="s">
        <v>4300</v>
      </c>
      <c r="E24" s="10" t="s">
        <v>4301</v>
      </c>
    </row>
    <row r="25" spans="1:6" x14ac:dyDescent="0.2">
      <c r="A25" s="11" t="s">
        <v>4275</v>
      </c>
      <c r="B25" s="11">
        <f>COUNTIF(Table1[CouponCode],"SAVE10")</f>
        <v>286</v>
      </c>
      <c r="C25" s="12">
        <f>SUMIF(Table1[CouponCode], "SAVE10",Table1[TotalPrice])</f>
        <v>304840.02</v>
      </c>
      <c r="D25" s="12">
        <f>C25/B25</f>
        <v>1065.8741958041958</v>
      </c>
      <c r="E25" s="15">
        <f>C25/SUM(Table1[TotalPrice])</f>
        <v>0.24102560769617068</v>
      </c>
    </row>
    <row r="26" spans="1:6" x14ac:dyDescent="0.2">
      <c r="A26" s="11" t="s">
        <v>4277</v>
      </c>
      <c r="B26" s="11">
        <f>COUNTIF(Table1[CouponCode],"WINTER15")</f>
        <v>292</v>
      </c>
      <c r="C26" s="12">
        <f>SUMIF(Table1[CouponCode], "WINTER15",Table1[TotalPrice])</f>
        <v>302483.54000000021</v>
      </c>
      <c r="D26" s="12">
        <f t="shared" ref="D26:D28" si="2">C26/B26</f>
        <v>1035.9025342465761</v>
      </c>
      <c r="E26" s="15">
        <f>C26/SUM(Table1[TotalPrice])</f>
        <v>0.23916242705465313</v>
      </c>
    </row>
    <row r="27" spans="1:6" x14ac:dyDescent="0.2">
      <c r="A27" s="11" t="s">
        <v>4276</v>
      </c>
      <c r="B27" s="11">
        <f>COUNTIF(Table1[CouponCode],"FREESHIP")</f>
        <v>313</v>
      </c>
      <c r="C27" s="12">
        <f>SUMIF(Table1[CouponCode], "FREESHIP",Table1[TotalPrice])</f>
        <v>335036.99000000028</v>
      </c>
      <c r="D27" s="12">
        <f t="shared" si="2"/>
        <v>1070.4057188498412</v>
      </c>
      <c r="E27" s="15">
        <f>C27/SUM(Table1[TotalPrice])</f>
        <v>0.264901222993772</v>
      </c>
    </row>
    <row r="28" spans="1:6" x14ac:dyDescent="0.2">
      <c r="A28" s="11" t="s">
        <v>4283</v>
      </c>
      <c r="B28" s="11">
        <f>COUNTIF(Table1[CouponCode],"NO_COUPON")</f>
        <v>309</v>
      </c>
      <c r="C28" s="12">
        <f>SUMIF(Table1[CouponCode], "NO_COUPON",Table1[TotalPrice])</f>
        <v>322401.40999999992</v>
      </c>
      <c r="D28" s="12">
        <f t="shared" si="2"/>
        <v>1043.3702588996762</v>
      </c>
      <c r="E28" s="15">
        <f>C28/SUM(Table1[TotalPrice])</f>
        <v>0.25491074225540417</v>
      </c>
    </row>
    <row r="31" spans="1:6" x14ac:dyDescent="0.2">
      <c r="A31" s="14" t="s">
        <v>4305</v>
      </c>
    </row>
    <row r="32" spans="1:6" x14ac:dyDescent="0.2">
      <c r="A32" s="10" t="s">
        <v>4297</v>
      </c>
      <c r="B32" s="10" t="s">
        <v>4298</v>
      </c>
      <c r="C32" s="10" t="s">
        <v>4299</v>
      </c>
      <c r="D32" s="10" t="s">
        <v>4300</v>
      </c>
      <c r="E32" s="10" t="s">
        <v>4301</v>
      </c>
    </row>
    <row r="33" spans="1:5" x14ac:dyDescent="0.2">
      <c r="A33" s="11" t="s">
        <v>3069</v>
      </c>
      <c r="B33" s="11">
        <f>COUNTIF(Table1[PaymentMethod], "Cash")</f>
        <v>246</v>
      </c>
      <c r="C33" s="12">
        <f>SUMIF(Table1[PaymentMethod], "Cash",Table1[TotalPrice])</f>
        <v>259786.28999999992</v>
      </c>
      <c r="D33" s="12">
        <f>C33/B33</f>
        <v>1056.0418292682923</v>
      </c>
      <c r="E33" s="15">
        <f>C33/SUM(Table1[TotalPrice])</f>
        <v>0.20540330767063855</v>
      </c>
    </row>
    <row r="34" spans="1:5" x14ac:dyDescent="0.2">
      <c r="A34" s="11" t="s">
        <v>3067</v>
      </c>
      <c r="B34" s="11">
        <f>COUNTIF(Table1[PaymentMethod],"Credit Card")</f>
        <v>234</v>
      </c>
      <c r="C34" s="12">
        <f>SUMIF(Table1[PaymentMethod], "Credit Card",Table1[TotalPrice])</f>
        <v>263847.62999999989</v>
      </c>
      <c r="D34" s="12">
        <f t="shared" ref="D34:D37" si="3">C34/B34</f>
        <v>1127.5539743589738</v>
      </c>
      <c r="E34" s="15">
        <f>C34/SUM(Table1[TotalPrice])</f>
        <v>0.20861445737979012</v>
      </c>
    </row>
    <row r="35" spans="1:5" x14ac:dyDescent="0.2">
      <c r="A35" s="11" t="s">
        <v>3065</v>
      </c>
      <c r="B35" s="11">
        <f>COUNTIF(Table1[PaymentMethod], "Debit Card")</f>
        <v>232</v>
      </c>
      <c r="C35" s="12">
        <f>SUMIF(Table1[PaymentMethod], "Debit Card",Table1[TotalPrice])</f>
        <v>232361.17999999996</v>
      </c>
      <c r="D35" s="12">
        <f t="shared" si="3"/>
        <v>1001.5568103448275</v>
      </c>
      <c r="E35" s="15">
        <f>C35/SUM(Table1[TotalPrice])</f>
        <v>0.18371929845201851</v>
      </c>
    </row>
    <row r="36" spans="1:5" x14ac:dyDescent="0.2">
      <c r="A36" s="11" t="s">
        <v>3068</v>
      </c>
      <c r="B36" s="11">
        <f>COUNTIF(Table1[PaymentMethod], "Gift Card")</f>
        <v>230</v>
      </c>
      <c r="C36" s="12">
        <f>SUMIF(Table1[PaymentMethod], "Gift Card",Table1[TotalPrice])</f>
        <v>246323.9200000001</v>
      </c>
      <c r="D36" s="12">
        <f t="shared" si="3"/>
        <v>1070.9735652173918</v>
      </c>
      <c r="E36" s="15">
        <f>C36/SUM(Table1[TotalPrice])</f>
        <v>0.19475911498793022</v>
      </c>
    </row>
    <row r="37" spans="1:5" x14ac:dyDescent="0.2">
      <c r="A37" s="11" t="s">
        <v>3066</v>
      </c>
      <c r="B37" s="11">
        <f>COUNTIF(Table1[PaymentMethod], "Online")</f>
        <v>258</v>
      </c>
      <c r="C37" s="12">
        <f>SUMIF(Table1[PaymentMethod], "Online",Table1[TotalPrice])</f>
        <v>262442.94000000012</v>
      </c>
      <c r="D37" s="12">
        <f t="shared" si="3"/>
        <v>1017.2206976744191</v>
      </c>
      <c r="E37" s="15">
        <f>C37/SUM(Table1[TotalPrice])</f>
        <v>0.20750382150962227</v>
      </c>
    </row>
    <row r="40" spans="1:5" x14ac:dyDescent="0.2">
      <c r="A40" s="14" t="s">
        <v>4306</v>
      </c>
    </row>
    <row r="41" spans="1:5" x14ac:dyDescent="0.2">
      <c r="A41" s="10" t="s">
        <v>4284</v>
      </c>
      <c r="B41" s="10" t="s">
        <v>4298</v>
      </c>
      <c r="C41" s="10" t="s">
        <v>4307</v>
      </c>
      <c r="D41" s="10" t="s">
        <v>4308</v>
      </c>
    </row>
    <row r="42" spans="1:5" x14ac:dyDescent="0.2">
      <c r="A42" s="11" t="s">
        <v>3073</v>
      </c>
      <c r="B42" s="11">
        <f>COUNTIF(Table1[OrderStatus],"Delivered")</f>
        <v>231</v>
      </c>
      <c r="C42" s="15">
        <f>B42/1200</f>
        <v>0.1925</v>
      </c>
      <c r="D42" s="12">
        <f>SUMIF(Table1[OrderStatus],"Delivered",Table1[TotalPrice])</f>
        <v>242600.31999999998</v>
      </c>
    </row>
    <row r="43" spans="1:5" x14ac:dyDescent="0.2">
      <c r="A43" s="11" t="s">
        <v>3070</v>
      </c>
      <c r="B43" s="11">
        <f>COUNTIF(Table1[OrderStatus],"Shipped")</f>
        <v>235</v>
      </c>
      <c r="C43" s="15">
        <f>B43/1200</f>
        <v>0.19583333333333333</v>
      </c>
      <c r="D43" s="12">
        <f>SUMIF(Table1[OrderStatus],"Shipped",Table1[TotalPrice])</f>
        <v>246159.57999999987</v>
      </c>
    </row>
    <row r="44" spans="1:5" x14ac:dyDescent="0.2">
      <c r="A44" s="11" t="s">
        <v>3074</v>
      </c>
      <c r="B44" s="11">
        <f>COUNTIF(Table1[OrderStatus],"Pending")</f>
        <v>237</v>
      </c>
      <c r="C44" s="15">
        <f>B44/1200</f>
        <v>0.19750000000000001</v>
      </c>
      <c r="D44" s="12">
        <f>SUMIF(Table1[OrderStatus],"Pending",Table1[TotalPrice])</f>
        <v>256328.15000000002</v>
      </c>
    </row>
    <row r="45" spans="1:5" x14ac:dyDescent="0.2">
      <c r="A45" s="11" t="s">
        <v>3071</v>
      </c>
      <c r="B45" s="11">
        <f>COUNTIF(Table1[OrderStatus],"Cancelled")</f>
        <v>250</v>
      </c>
      <c r="C45" s="15">
        <f>B45/1200</f>
        <v>0.20833333333333334</v>
      </c>
      <c r="D45" s="12">
        <f>SUMIF(Table1[OrderStatus],"Cancelled",Table1[TotalPrice])</f>
        <v>276396.20999999996</v>
      </c>
    </row>
    <row r="46" spans="1:5" x14ac:dyDescent="0.2">
      <c r="A46" s="11" t="s">
        <v>3072</v>
      </c>
      <c r="B46" s="11">
        <f>COUNTIF(Table1[OrderStatus],"Returned")</f>
        <v>247</v>
      </c>
      <c r="C46" s="15">
        <f>B46/1200</f>
        <v>0.20583333333333334</v>
      </c>
      <c r="D46" s="12">
        <f>SUMIF(Table1[OrderStatus],"Returned",Table1[TotalPrice])</f>
        <v>243277.70000000013</v>
      </c>
    </row>
    <row r="48" spans="1:5" x14ac:dyDescent="0.2">
      <c r="A48" s="14" t="s">
        <v>4309</v>
      </c>
      <c r="D48" s="16">
        <f>SUM(D42+D43)</f>
        <v>488759.89999999985</v>
      </c>
    </row>
    <row r="49" spans="1:4" x14ac:dyDescent="0.2">
      <c r="A49" s="14" t="s">
        <v>4310</v>
      </c>
      <c r="D49" s="16">
        <f>SUM(D45+D46)</f>
        <v>519673.91000000009</v>
      </c>
    </row>
    <row r="50" spans="1:4" x14ac:dyDescent="0.2">
      <c r="A50" s="14" t="s">
        <v>4311</v>
      </c>
      <c r="D50" s="17">
        <f>CORREL(Table1[ItemsInCart],Table1[Quantity])</f>
        <v>0.65006122572385383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F27B-99C2-4A47-BE61-980D05B5901B}">
  <dimension ref="A1:D33"/>
  <sheetViews>
    <sheetView workbookViewId="0">
      <selection sqref="A1:D1"/>
    </sheetView>
  </sheetViews>
  <sheetFormatPr baseColWidth="10" defaultRowHeight="15" x14ac:dyDescent="0.2"/>
  <cols>
    <col min="1" max="1" width="9.83203125" customWidth="1"/>
    <col min="2" max="2" width="6.83203125" bestFit="1" customWidth="1"/>
    <col min="3" max="3" width="9.1640625" bestFit="1" customWidth="1"/>
    <col min="4" max="4" width="14.6640625" bestFit="1" customWidth="1"/>
  </cols>
  <sheetData>
    <row r="1" spans="1:4" ht="17" customHeight="1" x14ac:dyDescent="0.2">
      <c r="A1" s="26" t="s">
        <v>4353</v>
      </c>
      <c r="B1" s="26"/>
      <c r="C1" s="26"/>
      <c r="D1" s="26"/>
    </row>
    <row r="3" spans="1:4" x14ac:dyDescent="0.2">
      <c r="A3" s="10" t="s">
        <v>4312</v>
      </c>
      <c r="B3" s="10" t="s">
        <v>4298</v>
      </c>
      <c r="C3" s="10" t="s">
        <v>4299</v>
      </c>
      <c r="D3" s="10" t="s">
        <v>4300</v>
      </c>
    </row>
    <row r="4" spans="1:4" x14ac:dyDescent="0.2">
      <c r="A4" s="18">
        <v>44927</v>
      </c>
      <c r="B4" s="11">
        <f>COUNTIFS(Table1[Date],"&gt;="&amp;'Monthly Trend'!A4,Table1[Date],"&lt;"&amp;EDATE(A4,1))</f>
        <v>47</v>
      </c>
      <c r="C4" s="12">
        <f>SUMIFS(Table1[TotalPrice],Table1[Date],"&gt;="&amp;A4,Table1[Date],"&lt;"&amp;EDATE(A4,1))</f>
        <v>56685.749999999985</v>
      </c>
      <c r="D4" s="12">
        <f t="shared" ref="D4:D33" si="0">IF(B4=0,0,C4/B4)</f>
        <v>1206.0797872340422</v>
      </c>
    </row>
    <row r="5" spans="1:4" x14ac:dyDescent="0.2">
      <c r="A5" s="18">
        <v>44958</v>
      </c>
      <c r="B5" s="11">
        <f>COUNTIFS(Table1[Date],"&gt;="&amp;'Monthly Trend'!A5,Table1[Date],"&lt;"&amp;EDATE(A5,1))</f>
        <v>37</v>
      </c>
      <c r="C5" s="12">
        <f>SUMIFS(Table1[TotalPrice],Table1[Date],"&gt;="&amp;A5,Table1[Date],"&lt;"&amp;EDATE(A5,1))</f>
        <v>40117.659999999996</v>
      </c>
      <c r="D5" s="12">
        <f t="shared" si="0"/>
        <v>1084.2610810810809</v>
      </c>
    </row>
    <row r="6" spans="1:4" x14ac:dyDescent="0.2">
      <c r="A6" s="18">
        <v>44986</v>
      </c>
      <c r="B6" s="11">
        <f>COUNTIFS(Table1[Date],"&gt;="&amp;'Monthly Trend'!A6,Table1[Date],"&lt;"&amp;EDATE(A6,1))</f>
        <v>43</v>
      </c>
      <c r="C6" s="12">
        <f>SUMIFS(Table1[TotalPrice],Table1[Date],"&gt;="&amp;A6,Table1[Date],"&lt;"&amp;EDATE(A6,1))</f>
        <v>48609.37000000001</v>
      </c>
      <c r="D6" s="12">
        <f t="shared" si="0"/>
        <v>1130.4504651162792</v>
      </c>
    </row>
    <row r="7" spans="1:4" x14ac:dyDescent="0.2">
      <c r="A7" s="18">
        <v>45017</v>
      </c>
      <c r="B7" s="11">
        <f>COUNTIFS(Table1[Date],"&gt;="&amp;'Monthly Trend'!A7,Table1[Date],"&lt;"&amp;EDATE(A7,1))</f>
        <v>31</v>
      </c>
      <c r="C7" s="12">
        <f>SUMIFS(Table1[TotalPrice],Table1[Date],"&gt;="&amp;A7,Table1[Date],"&lt;"&amp;EDATE(A7,1))</f>
        <v>27751.710000000006</v>
      </c>
      <c r="D7" s="12">
        <f t="shared" si="0"/>
        <v>895.21645161290348</v>
      </c>
    </row>
    <row r="8" spans="1:4" x14ac:dyDescent="0.2">
      <c r="A8" s="18">
        <v>45047</v>
      </c>
      <c r="B8" s="11">
        <f>COUNTIFS(Table1[Date],"&gt;="&amp;'Monthly Trend'!A8,Table1[Date],"&lt;"&amp;EDATE(A8,1))</f>
        <v>49</v>
      </c>
      <c r="C8" s="12">
        <f>SUMIFS(Table1[TotalPrice],Table1[Date],"&gt;="&amp;A8,Table1[Date],"&lt;"&amp;EDATE(A8,1))</f>
        <v>63836.840000000026</v>
      </c>
      <c r="D8" s="12">
        <f t="shared" si="0"/>
        <v>1302.7926530612251</v>
      </c>
    </row>
    <row r="9" spans="1:4" x14ac:dyDescent="0.2">
      <c r="A9" s="18">
        <v>45078</v>
      </c>
      <c r="B9" s="11">
        <f>COUNTIFS(Table1[Date],"&gt;="&amp;'Monthly Trend'!A9,Table1[Date],"&lt;"&amp;EDATE(A9,1))</f>
        <v>45</v>
      </c>
      <c r="C9" s="12">
        <f>SUMIFS(Table1[TotalPrice],Table1[Date],"&gt;="&amp;A9,Table1[Date],"&lt;"&amp;EDATE(A9,1))</f>
        <v>49500.19</v>
      </c>
      <c r="D9" s="12">
        <f t="shared" si="0"/>
        <v>1100.0042222222223</v>
      </c>
    </row>
    <row r="10" spans="1:4" x14ac:dyDescent="0.2">
      <c r="A10" s="18">
        <v>45108</v>
      </c>
      <c r="B10" s="11">
        <f>COUNTIFS(Table1[Date],"&gt;="&amp;'Monthly Trend'!A10,Table1[Date],"&lt;"&amp;EDATE(A10,1))</f>
        <v>44</v>
      </c>
      <c r="C10" s="12">
        <f>SUMIFS(Table1[TotalPrice],Table1[Date],"&gt;="&amp;A10,Table1[Date],"&lt;"&amp;EDATE(A10,1))</f>
        <v>42820.66</v>
      </c>
      <c r="D10" s="12">
        <f t="shared" si="0"/>
        <v>973.19681818181823</v>
      </c>
    </row>
    <row r="11" spans="1:4" x14ac:dyDescent="0.2">
      <c r="A11" s="18">
        <v>45139</v>
      </c>
      <c r="B11" s="11">
        <f>COUNTIFS(Table1[Date],"&gt;="&amp;'Monthly Trend'!A11,Table1[Date],"&lt;"&amp;EDATE(A11,1))</f>
        <v>51</v>
      </c>
      <c r="C11" s="12">
        <f>SUMIFS(Table1[TotalPrice],Table1[Date],"&gt;="&amp;A11,Table1[Date],"&lt;"&amp;EDATE(A11,1))</f>
        <v>54352.14</v>
      </c>
      <c r="D11" s="12">
        <f t="shared" si="0"/>
        <v>1065.7282352941177</v>
      </c>
    </row>
    <row r="12" spans="1:4" x14ac:dyDescent="0.2">
      <c r="A12" s="18">
        <v>45170</v>
      </c>
      <c r="B12" s="11">
        <f>COUNTIFS(Table1[Date],"&gt;="&amp;'Monthly Trend'!A12,Table1[Date],"&lt;"&amp;EDATE(A12,1))</f>
        <v>29</v>
      </c>
      <c r="C12" s="12">
        <f>SUMIFS(Table1[TotalPrice],Table1[Date],"&gt;="&amp;A12,Table1[Date],"&lt;"&amp;EDATE(A12,1))</f>
        <v>29526.67</v>
      </c>
      <c r="D12" s="12">
        <f t="shared" si="0"/>
        <v>1018.1610344827585</v>
      </c>
    </row>
    <row r="13" spans="1:4" x14ac:dyDescent="0.2">
      <c r="A13" s="18">
        <v>45200</v>
      </c>
      <c r="B13" s="11">
        <f>COUNTIFS(Table1[Date],"&gt;="&amp;'Monthly Trend'!A13,Table1[Date],"&lt;"&amp;EDATE(A13,1))</f>
        <v>47</v>
      </c>
      <c r="C13" s="12">
        <f>SUMIFS(Table1[TotalPrice],Table1[Date],"&gt;="&amp;A13,Table1[Date],"&lt;"&amp;EDATE(A13,1))</f>
        <v>52607.85</v>
      </c>
      <c r="D13" s="12">
        <f t="shared" si="0"/>
        <v>1119.3159574468084</v>
      </c>
    </row>
    <row r="14" spans="1:4" x14ac:dyDescent="0.2">
      <c r="A14" s="18">
        <v>45231</v>
      </c>
      <c r="B14" s="11">
        <f>COUNTIFS(Table1[Date],"&gt;="&amp;'Monthly Trend'!A14,Table1[Date],"&lt;"&amp;EDATE(A14,1))</f>
        <v>41</v>
      </c>
      <c r="C14" s="12">
        <f>SUMIFS(Table1[TotalPrice],Table1[Date],"&gt;="&amp;A14,Table1[Date],"&lt;"&amp;EDATE(A14,1))</f>
        <v>43079.67</v>
      </c>
      <c r="D14" s="12">
        <f t="shared" si="0"/>
        <v>1050.7236585365854</v>
      </c>
    </row>
    <row r="15" spans="1:4" x14ac:dyDescent="0.2">
      <c r="A15" s="18">
        <v>45261</v>
      </c>
      <c r="B15" s="11">
        <f>COUNTIFS(Table1[Date],"&gt;="&amp;'Monthly Trend'!A15,Table1[Date],"&lt;"&amp;EDATE(A15,1))</f>
        <v>46</v>
      </c>
      <c r="C15" s="12">
        <f>SUMIFS(Table1[TotalPrice],Table1[Date],"&gt;="&amp;A15,Table1[Date],"&lt;"&amp;EDATE(A15,1))</f>
        <v>43754.729999999981</v>
      </c>
      <c r="D15" s="12">
        <f t="shared" si="0"/>
        <v>951.18978260869528</v>
      </c>
    </row>
    <row r="16" spans="1:4" x14ac:dyDescent="0.2">
      <c r="A16" s="18">
        <v>45292</v>
      </c>
      <c r="B16" s="11">
        <f>COUNTIFS(Table1[Date],"&gt;="&amp;'Monthly Trend'!A16,Table1[Date],"&lt;"&amp;EDATE(A16,1))</f>
        <v>32</v>
      </c>
      <c r="C16" s="12">
        <f>SUMIFS(Table1[TotalPrice],Table1[Date],"&gt;="&amp;A16,Table1[Date],"&lt;"&amp;EDATE(A16,1))</f>
        <v>38528.079999999994</v>
      </c>
      <c r="D16" s="12">
        <f t="shared" si="0"/>
        <v>1204.0024999999998</v>
      </c>
    </row>
    <row r="17" spans="1:4" x14ac:dyDescent="0.2">
      <c r="A17" s="18">
        <v>45323</v>
      </c>
      <c r="B17" s="11">
        <f>COUNTIFS(Table1[Date],"&gt;="&amp;'Monthly Trend'!A17,Table1[Date],"&lt;"&amp;EDATE(A17,1))</f>
        <v>32</v>
      </c>
      <c r="C17" s="12">
        <f>SUMIFS(Table1[TotalPrice],Table1[Date],"&gt;="&amp;A17,Table1[Date],"&lt;"&amp;EDATE(A17,1))</f>
        <v>36909.570000000014</v>
      </c>
      <c r="D17" s="12">
        <f t="shared" si="0"/>
        <v>1153.4240625000004</v>
      </c>
    </row>
    <row r="18" spans="1:4" x14ac:dyDescent="0.2">
      <c r="A18" s="18">
        <v>45352</v>
      </c>
      <c r="B18" s="11">
        <f>COUNTIFS(Table1[Date],"&gt;="&amp;'Monthly Trend'!A18,Table1[Date],"&lt;"&amp;EDATE(A18,1))</f>
        <v>36</v>
      </c>
      <c r="C18" s="12">
        <f>SUMIFS(Table1[TotalPrice],Table1[Date],"&gt;="&amp;A18,Table1[Date],"&lt;"&amp;EDATE(A18,1))</f>
        <v>36030.899999999994</v>
      </c>
      <c r="D18" s="12">
        <f t="shared" si="0"/>
        <v>1000.8583333333331</v>
      </c>
    </row>
    <row r="19" spans="1:4" x14ac:dyDescent="0.2">
      <c r="A19" s="18">
        <v>45383</v>
      </c>
      <c r="B19" s="11">
        <f>COUNTIFS(Table1[Date],"&gt;="&amp;'Monthly Trend'!A19,Table1[Date],"&lt;"&amp;EDATE(A19,1))</f>
        <v>50</v>
      </c>
      <c r="C19" s="12">
        <f>SUMIFS(Table1[TotalPrice],Table1[Date],"&gt;="&amp;A19,Table1[Date],"&lt;"&amp;EDATE(A19,1))</f>
        <v>49613.139999999992</v>
      </c>
      <c r="D19" s="12">
        <f t="shared" si="0"/>
        <v>992.26279999999986</v>
      </c>
    </row>
    <row r="20" spans="1:4" x14ac:dyDescent="0.2">
      <c r="A20" s="18">
        <v>45413</v>
      </c>
      <c r="B20" s="11">
        <f>COUNTIFS(Table1[Date],"&gt;="&amp;'Monthly Trend'!A20,Table1[Date],"&lt;"&amp;EDATE(A20,1))</f>
        <v>34</v>
      </c>
      <c r="C20" s="12">
        <f>SUMIFS(Table1[TotalPrice],Table1[Date],"&gt;="&amp;A20,Table1[Date],"&lt;"&amp;EDATE(A20,1))</f>
        <v>27909.110000000004</v>
      </c>
      <c r="D20" s="12">
        <f t="shared" si="0"/>
        <v>820.85617647058837</v>
      </c>
    </row>
    <row r="21" spans="1:4" x14ac:dyDescent="0.2">
      <c r="A21" s="18">
        <v>45444</v>
      </c>
      <c r="B21" s="11">
        <f>COUNTIFS(Table1[Date],"&gt;="&amp;'Monthly Trend'!A21,Table1[Date],"&lt;"&amp;EDATE(A21,1))</f>
        <v>53</v>
      </c>
      <c r="C21" s="12">
        <f>SUMIFS(Table1[TotalPrice],Table1[Date],"&gt;="&amp;A21,Table1[Date],"&lt;"&amp;EDATE(A21,1))</f>
        <v>68068.539999999979</v>
      </c>
      <c r="D21" s="12">
        <f t="shared" si="0"/>
        <v>1284.3120754716977</v>
      </c>
    </row>
    <row r="22" spans="1:4" x14ac:dyDescent="0.2">
      <c r="A22" s="18">
        <v>45474</v>
      </c>
      <c r="B22" s="11">
        <f>COUNTIFS(Table1[Date],"&gt;="&amp;'Monthly Trend'!A22,Table1[Date],"&lt;"&amp;EDATE(A22,1))</f>
        <v>43</v>
      </c>
      <c r="C22" s="12">
        <f>SUMIFS(Table1[TotalPrice],Table1[Date],"&gt;="&amp;A22,Table1[Date],"&lt;"&amp;EDATE(A22,1))</f>
        <v>42963.98</v>
      </c>
      <c r="D22" s="12">
        <f t="shared" si="0"/>
        <v>999.16232558139541</v>
      </c>
    </row>
    <row r="23" spans="1:4" x14ac:dyDescent="0.2">
      <c r="A23" s="18">
        <v>45505</v>
      </c>
      <c r="B23" s="11">
        <f>COUNTIFS(Table1[Date],"&gt;="&amp;'Monthly Trend'!A23,Table1[Date],"&lt;"&amp;EDATE(A23,1))</f>
        <v>28</v>
      </c>
      <c r="C23" s="12">
        <f>SUMIFS(Table1[TotalPrice],Table1[Date],"&gt;="&amp;A23,Table1[Date],"&lt;"&amp;EDATE(A23,1))</f>
        <v>31991.07</v>
      </c>
      <c r="D23" s="12">
        <f t="shared" si="0"/>
        <v>1142.5382142857143</v>
      </c>
    </row>
    <row r="24" spans="1:4" x14ac:dyDescent="0.2">
      <c r="A24" s="18">
        <v>45536</v>
      </c>
      <c r="B24" s="11">
        <f>COUNTIFS(Table1[Date],"&gt;="&amp;'Monthly Trend'!A24,Table1[Date],"&lt;"&amp;EDATE(A24,1))</f>
        <v>44</v>
      </c>
      <c r="C24" s="12">
        <f>SUMIFS(Table1[TotalPrice],Table1[Date],"&gt;="&amp;A24,Table1[Date],"&lt;"&amp;EDATE(A24,1))</f>
        <v>39794.979999999996</v>
      </c>
      <c r="D24" s="12">
        <f t="shared" si="0"/>
        <v>904.43136363636359</v>
      </c>
    </row>
    <row r="25" spans="1:4" x14ac:dyDescent="0.2">
      <c r="A25" s="18">
        <v>45566</v>
      </c>
      <c r="B25" s="11">
        <f>COUNTIFS(Table1[Date],"&gt;="&amp;'Monthly Trend'!A25,Table1[Date],"&lt;"&amp;EDATE(A25,1))</f>
        <v>31</v>
      </c>
      <c r="C25" s="12">
        <f>SUMIFS(Table1[TotalPrice],Table1[Date],"&gt;="&amp;A25,Table1[Date],"&lt;"&amp;EDATE(A25,1))</f>
        <v>37226.969999999994</v>
      </c>
      <c r="D25" s="12">
        <f t="shared" si="0"/>
        <v>1200.8699999999999</v>
      </c>
    </row>
    <row r="26" spans="1:4" x14ac:dyDescent="0.2">
      <c r="A26" s="18">
        <v>45597</v>
      </c>
      <c r="B26" s="11">
        <f>COUNTIFS(Table1[Date],"&gt;="&amp;'Monthly Trend'!A26,Table1[Date],"&lt;"&amp;EDATE(A26,1))</f>
        <v>35</v>
      </c>
      <c r="C26" s="12">
        <f>SUMIFS(Table1[TotalPrice],Table1[Date],"&gt;="&amp;A26,Table1[Date],"&lt;"&amp;EDATE(A26,1))</f>
        <v>32413.760000000006</v>
      </c>
      <c r="D26" s="12">
        <f t="shared" si="0"/>
        <v>926.10742857142873</v>
      </c>
    </row>
    <row r="27" spans="1:4" x14ac:dyDescent="0.2">
      <c r="A27" s="18">
        <v>45627</v>
      </c>
      <c r="B27" s="11">
        <f>COUNTIFS(Table1[Date],"&gt;="&amp;'Monthly Trend'!A27,Table1[Date],"&lt;"&amp;EDATE(A27,1))</f>
        <v>41</v>
      </c>
      <c r="C27" s="12">
        <f>SUMIFS(Table1[TotalPrice],Table1[Date],"&gt;="&amp;A27,Table1[Date],"&lt;"&amp;EDATE(A27,1))</f>
        <v>38785.769999999997</v>
      </c>
      <c r="D27" s="12">
        <f t="shared" si="0"/>
        <v>945.99439024390233</v>
      </c>
    </row>
    <row r="28" spans="1:4" x14ac:dyDescent="0.2">
      <c r="A28" s="18">
        <v>45658</v>
      </c>
      <c r="B28" s="11">
        <f>COUNTIFS(Table1[Date],"&gt;="&amp;'Monthly Trend'!A28,Table1[Date],"&lt;"&amp;EDATE(A28,1))</f>
        <v>27</v>
      </c>
      <c r="C28" s="12">
        <f>SUMIFS(Table1[TotalPrice],Table1[Date],"&gt;="&amp;A28,Table1[Date],"&lt;"&amp;EDATE(A28,1))</f>
        <v>29099.399999999998</v>
      </c>
      <c r="D28" s="12">
        <f t="shared" si="0"/>
        <v>1077.7555555555555</v>
      </c>
    </row>
    <row r="29" spans="1:4" x14ac:dyDescent="0.2">
      <c r="A29" s="18">
        <v>45689</v>
      </c>
      <c r="B29" s="11">
        <f>COUNTIFS(Table1[Date],"&gt;="&amp;'Monthly Trend'!A29,Table1[Date],"&lt;"&amp;EDATE(A29,1))</f>
        <v>37</v>
      </c>
      <c r="C29" s="12">
        <f>SUMIFS(Table1[TotalPrice],Table1[Date],"&gt;="&amp;A29,Table1[Date],"&lt;"&amp;EDATE(A29,1))</f>
        <v>35317.549999999996</v>
      </c>
      <c r="D29" s="12">
        <f t="shared" si="0"/>
        <v>954.52837837837831</v>
      </c>
    </row>
    <row r="30" spans="1:4" x14ac:dyDescent="0.2">
      <c r="A30" s="18">
        <v>45717</v>
      </c>
      <c r="B30" s="11">
        <f>COUNTIFS(Table1[Date],"&gt;="&amp;'Monthly Trend'!A30,Table1[Date],"&lt;"&amp;EDATE(A30,1))</f>
        <v>49</v>
      </c>
      <c r="C30" s="12">
        <f>SUMIFS(Table1[TotalPrice],Table1[Date],"&gt;="&amp;A30,Table1[Date],"&lt;"&amp;EDATE(A30,1))</f>
        <v>39200.660000000011</v>
      </c>
      <c r="D30" s="12">
        <f t="shared" si="0"/>
        <v>800.01346938775532</v>
      </c>
    </row>
    <row r="31" spans="1:4" x14ac:dyDescent="0.2">
      <c r="A31" s="18">
        <v>45748</v>
      </c>
      <c r="B31" s="11">
        <f>COUNTIFS(Table1[Date],"&gt;="&amp;'Monthly Trend'!A31,Table1[Date],"&lt;"&amp;EDATE(A31,1))</f>
        <v>32</v>
      </c>
      <c r="C31" s="12">
        <f>SUMIFS(Table1[TotalPrice],Table1[Date],"&gt;="&amp;A31,Table1[Date],"&lt;"&amp;EDATE(A31,1))</f>
        <v>31821.200000000001</v>
      </c>
      <c r="D31" s="12">
        <f t="shared" si="0"/>
        <v>994.41250000000002</v>
      </c>
    </row>
    <row r="32" spans="1:4" x14ac:dyDescent="0.2">
      <c r="A32" s="18">
        <v>45778</v>
      </c>
      <c r="B32" s="11">
        <f>COUNTIFS(Table1[Date],"&gt;="&amp;'Monthly Trend'!A32,Table1[Date],"&lt;"&amp;EDATE(A32,1))</f>
        <v>37</v>
      </c>
      <c r="C32" s="12">
        <f>SUMIFS(Table1[TotalPrice],Table1[Date],"&gt;="&amp;A32,Table1[Date],"&lt;"&amp;EDATE(A32,1))</f>
        <v>43396.639999999992</v>
      </c>
      <c r="D32" s="12">
        <f t="shared" si="0"/>
        <v>1172.8821621621619</v>
      </c>
    </row>
    <row r="33" spans="1:4" x14ac:dyDescent="0.2">
      <c r="A33" s="18">
        <v>45809</v>
      </c>
      <c r="B33" s="11">
        <f>COUNTIFS(Table1[Date],"&gt;="&amp;'Monthly Trend'!A33,Table1[Date],"&lt;"&amp;EDATE(A33,1))</f>
        <v>49</v>
      </c>
      <c r="C33" s="12">
        <f>SUMIFS(Table1[TotalPrice],Table1[Date],"&gt;="&amp;A33,Table1[Date],"&lt;"&amp;EDATE(A33,1))</f>
        <v>53047.399999999994</v>
      </c>
      <c r="D33" s="12">
        <f t="shared" si="0"/>
        <v>1082.5999999999999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19EF-7270-A64C-9920-0C809421357F}">
  <dimension ref="A1:C25"/>
  <sheetViews>
    <sheetView workbookViewId="0">
      <selection activeCell="J29" sqref="J29"/>
    </sheetView>
  </sheetViews>
  <sheetFormatPr baseColWidth="10" defaultRowHeight="15" x14ac:dyDescent="0.2"/>
  <cols>
    <col min="1" max="1" width="28.5" customWidth="1"/>
  </cols>
  <sheetData>
    <row r="1" spans="1:3" ht="16" x14ac:dyDescent="0.2">
      <c r="A1" s="9" t="s">
        <v>4354</v>
      </c>
    </row>
    <row r="3" spans="1:3" x14ac:dyDescent="0.2">
      <c r="A3" s="11" t="s">
        <v>4313</v>
      </c>
      <c r="B3" s="12">
        <f>QUARTILE(Table1[TotalPrice],1)</f>
        <v>410.52</v>
      </c>
    </row>
    <row r="4" spans="1:3" x14ac:dyDescent="0.2">
      <c r="A4" s="11" t="s">
        <v>4314</v>
      </c>
      <c r="B4" s="12">
        <f>QUARTILE(Table1[TotalPrice],3)</f>
        <v>1578.4749999999999</v>
      </c>
    </row>
    <row r="5" spans="1:3" x14ac:dyDescent="0.2">
      <c r="A5" s="11" t="s">
        <v>4315</v>
      </c>
      <c r="B5" s="12">
        <f>B4-B3</f>
        <v>1167.9549999999999</v>
      </c>
    </row>
    <row r="6" spans="1:3" x14ac:dyDescent="0.2">
      <c r="A6" s="11" t="s">
        <v>4316</v>
      </c>
      <c r="B6" s="12">
        <f>B3-1.5*B5</f>
        <v>-1341.4124999999999</v>
      </c>
    </row>
    <row r="7" spans="1:3" x14ac:dyDescent="0.2">
      <c r="A7" s="11" t="s">
        <v>4317</v>
      </c>
      <c r="B7" s="12">
        <f>B4+1.5*B5</f>
        <v>3330.4074999999998</v>
      </c>
    </row>
    <row r="8" spans="1:3" x14ac:dyDescent="0.2">
      <c r="A8" s="11" t="s">
        <v>4318</v>
      </c>
      <c r="B8" s="12" t="e">
        <f>COUNTIF([1]Data!N2:N1201,"&lt;"&amp;B6)</f>
        <v>#VALUE!</v>
      </c>
    </row>
    <row r="9" spans="1:3" x14ac:dyDescent="0.2">
      <c r="A9" s="11" t="s">
        <v>4319</v>
      </c>
      <c r="B9" s="12" t="e">
        <f>COUNTIF([1]Data!N2:N1201,"&gt;"&amp;B7)</f>
        <v>#VALUE!</v>
      </c>
    </row>
    <row r="11" spans="1:3" x14ac:dyDescent="0.2">
      <c r="A11" s="14" t="s">
        <v>4320</v>
      </c>
    </row>
    <row r="12" spans="1:3" x14ac:dyDescent="0.2">
      <c r="A12" s="10" t="s">
        <v>4321</v>
      </c>
      <c r="B12" s="10" t="s">
        <v>0</v>
      </c>
      <c r="C12" s="10" t="s">
        <v>13</v>
      </c>
    </row>
    <row r="13" spans="1:3" x14ac:dyDescent="0.2">
      <c r="A13" s="11">
        <v>1</v>
      </c>
      <c r="B13" s="11" t="str">
        <f>INDEX(Table1[OrderID],MATCH(C13,Table1[TotalPrice],0))</f>
        <v>ORD200789</v>
      </c>
      <c r="C13" s="19">
        <f>LARGE(Table1[TotalPrice],1)</f>
        <v>3456.4</v>
      </c>
    </row>
    <row r="14" spans="1:3" x14ac:dyDescent="0.2">
      <c r="A14" s="11">
        <v>2</v>
      </c>
      <c r="B14" s="11" t="str">
        <f>INDEX(Table1[OrderID],MATCH(C14,Table1[TotalPrice],0))</f>
        <v>ORD201122</v>
      </c>
      <c r="C14" s="19">
        <f>LARGE(Table1[TotalPrice],2)</f>
        <v>3390.95</v>
      </c>
    </row>
    <row r="15" spans="1:3" x14ac:dyDescent="0.2">
      <c r="A15" s="11">
        <v>3</v>
      </c>
      <c r="B15" s="11" t="str">
        <f>INDEX(Table1[OrderID],MATCH(C15,Table1[TotalPrice],0))</f>
        <v>ORD200632</v>
      </c>
      <c r="C15" s="19">
        <f>LARGE(Table1[TotalPrice],3)</f>
        <v>3390.8</v>
      </c>
    </row>
    <row r="16" spans="1:3" x14ac:dyDescent="0.2">
      <c r="A16" s="11">
        <v>4</v>
      </c>
      <c r="B16" s="11" t="str">
        <f>INDEX(Table1[OrderID],MATCH(C16,Table1[TotalPrice],0))</f>
        <v>ORD200469</v>
      </c>
      <c r="C16" s="19">
        <f>LARGE(Table1[TotalPrice],4)</f>
        <v>3384.9</v>
      </c>
    </row>
    <row r="17" spans="1:3" x14ac:dyDescent="0.2">
      <c r="A17" s="11">
        <v>5</v>
      </c>
      <c r="B17" s="11" t="str">
        <f>INDEX(Table1[OrderID],MATCH(C17,Table1[TotalPrice],0))</f>
        <v>ORD200328</v>
      </c>
      <c r="C17" s="19">
        <f>LARGE(Table1[TotalPrice],5)</f>
        <v>3370.2</v>
      </c>
    </row>
    <row r="18" spans="1:3" x14ac:dyDescent="0.2">
      <c r="A18" s="11">
        <v>6</v>
      </c>
      <c r="B18" s="11" t="str">
        <f>INDEX(Table1[OrderID],MATCH(C18,Table1[TotalPrice],0))</f>
        <v>ORD200107</v>
      </c>
      <c r="C18" s="19">
        <f>LARGE(Table1[TotalPrice],6)</f>
        <v>3353.75</v>
      </c>
    </row>
    <row r="19" spans="1:3" x14ac:dyDescent="0.2">
      <c r="A19" s="11">
        <v>7</v>
      </c>
      <c r="B19" s="11" t="str">
        <f>INDEX(Table1[OrderID],MATCH(C19,Table1[TotalPrice],0))</f>
        <v>ORD200326</v>
      </c>
      <c r="C19" s="19">
        <f>LARGE(Table1[TotalPrice],7)</f>
        <v>3352.4</v>
      </c>
    </row>
    <row r="20" spans="1:3" x14ac:dyDescent="0.2">
      <c r="A20" s="11">
        <v>8</v>
      </c>
      <c r="B20" s="11" t="str">
        <f>INDEX(Table1[OrderID],MATCH(C20,Table1[TotalPrice],0))</f>
        <v>ORD201065</v>
      </c>
      <c r="C20" s="19">
        <f>LARGE(Table1[TotalPrice],8)</f>
        <v>3334</v>
      </c>
    </row>
    <row r="21" spans="1:3" x14ac:dyDescent="0.2">
      <c r="A21" s="11">
        <v>9</v>
      </c>
      <c r="B21" s="11" t="str">
        <f>INDEX(Table1[OrderID],MATCH(C21,Table1[TotalPrice],0))</f>
        <v>ORD201031</v>
      </c>
      <c r="C21" s="19">
        <f>LARGE(Table1[TotalPrice],9)</f>
        <v>3322.55</v>
      </c>
    </row>
    <row r="22" spans="1:3" x14ac:dyDescent="0.2">
      <c r="A22" s="11">
        <v>10</v>
      </c>
      <c r="B22" s="11" t="str">
        <f>INDEX(Table1[OrderID],MATCH(C22,Table1[TotalPrice],0))</f>
        <v>ORD200463</v>
      </c>
      <c r="C22" s="19">
        <f>LARGE(Table1[TotalPrice],10)</f>
        <v>3313.9</v>
      </c>
    </row>
    <row r="24" spans="1:3" x14ac:dyDescent="0.2">
      <c r="A24" s="13"/>
    </row>
    <row r="25" spans="1:3" x14ac:dyDescent="0.2">
      <c r="A25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0B80-D1F9-D446-B450-5542896D8879}">
  <dimension ref="A1:E12"/>
  <sheetViews>
    <sheetView tabSelected="1" workbookViewId="0">
      <selection activeCell="I6" sqref="I6"/>
    </sheetView>
  </sheetViews>
  <sheetFormatPr baseColWidth="10" defaultRowHeight="14" x14ac:dyDescent="0.2"/>
  <cols>
    <col min="1" max="1" width="4.6640625" style="8" customWidth="1"/>
    <col min="2" max="2" width="10.83203125" style="8"/>
    <col min="3" max="3" width="45.5" style="8" customWidth="1"/>
    <col min="4" max="4" width="50.33203125" style="8" customWidth="1"/>
    <col min="5" max="5" width="47.33203125" style="8" customWidth="1"/>
    <col min="6" max="16384" width="10.83203125" style="8"/>
  </cols>
  <sheetData>
    <row r="1" spans="1:5" x14ac:dyDescent="0.2">
      <c r="A1" s="27" t="s">
        <v>4322</v>
      </c>
      <c r="B1" s="27"/>
      <c r="C1" s="27"/>
      <c r="D1" s="27"/>
      <c r="E1" s="27"/>
    </row>
    <row r="3" spans="1:5" s="25" customFormat="1" ht="19" x14ac:dyDescent="0.25">
      <c r="A3" s="24" t="s">
        <v>4323</v>
      </c>
      <c r="B3" s="24" t="s">
        <v>4324</v>
      </c>
      <c r="C3" s="24" t="s">
        <v>4325</v>
      </c>
      <c r="D3" s="24" t="s">
        <v>4326</v>
      </c>
      <c r="E3" s="24" t="s">
        <v>4327</v>
      </c>
    </row>
    <row r="4" spans="1:5" ht="65" customHeight="1" x14ac:dyDescent="0.2">
      <c r="A4" s="23" t="s">
        <v>4328</v>
      </c>
      <c r="B4" s="21" t="s">
        <v>4329</v>
      </c>
      <c r="C4" s="21" t="s">
        <v>4330</v>
      </c>
      <c r="D4" s="22" t="s">
        <v>4355</v>
      </c>
      <c r="E4" s="22" t="s">
        <v>4356</v>
      </c>
    </row>
    <row r="5" spans="1:5" ht="60" x14ac:dyDescent="0.2">
      <c r="A5" s="23" t="s">
        <v>4331</v>
      </c>
      <c r="B5" s="21" t="s">
        <v>4332</v>
      </c>
      <c r="C5" s="21" t="s">
        <v>4333</v>
      </c>
      <c r="D5" s="22" t="s">
        <v>4368</v>
      </c>
      <c r="E5" s="22" t="s">
        <v>4359</v>
      </c>
    </row>
    <row r="6" spans="1:5" ht="30" x14ac:dyDescent="0.2">
      <c r="A6" s="23" t="s">
        <v>4334</v>
      </c>
      <c r="B6" s="21" t="s">
        <v>4335</v>
      </c>
      <c r="C6" s="21" t="s">
        <v>4336</v>
      </c>
      <c r="D6" s="22" t="s">
        <v>4360</v>
      </c>
      <c r="E6" s="22" t="s">
        <v>4361</v>
      </c>
    </row>
    <row r="7" spans="1:5" ht="60" x14ac:dyDescent="0.2">
      <c r="A7" s="23" t="s">
        <v>4337</v>
      </c>
      <c r="B7" s="21" t="s">
        <v>4338</v>
      </c>
      <c r="C7" s="21" t="s">
        <v>4339</v>
      </c>
      <c r="D7" s="22" t="s">
        <v>4357</v>
      </c>
      <c r="E7" s="22" t="s">
        <v>4358</v>
      </c>
    </row>
    <row r="8" spans="1:5" ht="45" x14ac:dyDescent="0.2">
      <c r="A8" s="23" t="s">
        <v>4340</v>
      </c>
      <c r="B8" s="21" t="s">
        <v>4341</v>
      </c>
      <c r="C8" s="21" t="s">
        <v>4342</v>
      </c>
      <c r="D8" s="22" t="s">
        <v>4362</v>
      </c>
      <c r="E8" s="22" t="s">
        <v>4363</v>
      </c>
    </row>
    <row r="9" spans="1:5" ht="45" x14ac:dyDescent="0.2">
      <c r="A9" s="23" t="s">
        <v>4343</v>
      </c>
      <c r="B9" s="21" t="s">
        <v>4344</v>
      </c>
      <c r="C9" s="21" t="s">
        <v>4345</v>
      </c>
      <c r="D9" s="22" t="s">
        <v>4370</v>
      </c>
      <c r="E9" s="22" t="s">
        <v>4364</v>
      </c>
    </row>
    <row r="10" spans="1:5" ht="45" x14ac:dyDescent="0.2">
      <c r="A10" s="23" t="s">
        <v>4346</v>
      </c>
      <c r="B10" s="21" t="s">
        <v>4347</v>
      </c>
      <c r="C10" s="21" t="s">
        <v>4348</v>
      </c>
      <c r="D10" s="22" t="s">
        <v>4365</v>
      </c>
      <c r="E10" s="22" t="s">
        <v>4366</v>
      </c>
    </row>
    <row r="11" spans="1:5" ht="45" x14ac:dyDescent="0.2">
      <c r="A11" s="23" t="s">
        <v>4349</v>
      </c>
      <c r="B11" s="21" t="s">
        <v>4350</v>
      </c>
      <c r="C11" s="21" t="s">
        <v>4351</v>
      </c>
      <c r="D11" s="22" t="s">
        <v>4369</v>
      </c>
      <c r="E11" s="22" t="s">
        <v>4367</v>
      </c>
    </row>
    <row r="12" spans="1:5" x14ac:dyDescent="0.2">
      <c r="D12" s="20"/>
      <c r="E12" s="20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Raw_Backup</vt:lpstr>
      <vt:lpstr>Cleaned_Dataset</vt:lpstr>
      <vt:lpstr>Descriptive Statistics</vt:lpstr>
      <vt:lpstr>By Category</vt:lpstr>
      <vt:lpstr>Monthly Trend</vt:lpstr>
      <vt:lpstr>Outliers</vt:lpstr>
      <vt:lpstr>Key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Rubel Hasan (U2573293)</cp:lastModifiedBy>
  <dcterms:created xsi:type="dcterms:W3CDTF">2025-06-21T13:19:12Z</dcterms:created>
  <dcterms:modified xsi:type="dcterms:W3CDTF">2026-07-07T10:53:53Z</dcterms:modified>
</cp:coreProperties>
</file>